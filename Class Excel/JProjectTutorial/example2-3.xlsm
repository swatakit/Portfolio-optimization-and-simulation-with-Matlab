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5135" windowHeight="9300" activeTab="3"/>
  </bookViews>
  <sheets>
    <sheet name="Data" sheetId="2" r:id="rId1"/>
    <sheet name="Statistics" sheetId="3" r:id="rId2"/>
    <sheet name="SCIB" sheetId="6" r:id="rId3"/>
    <sheet name="Matrix Z" sheetId="12" r:id="rId4"/>
    <sheet name="PS" sheetId="7" r:id="rId5"/>
    <sheet name="KCE" sheetId="8" r:id="rId6"/>
    <sheet name="CPF" sheetId="9" r:id="rId7"/>
    <sheet name="TPIP" sheetId="10" r:id="rId8"/>
    <sheet name="TCAP" sheetId="11" r:id="rId9"/>
  </sheets>
  <definedNames>
    <definedName name="CholInx">Statistics!$B$22</definedName>
    <definedName name="cholRange">Statistics!$B$22:$G$27</definedName>
    <definedName name="CorrInx">Statistics!$B$14</definedName>
    <definedName name="corrRange">Statistics!$B$14:$G$19</definedName>
    <definedName name="CovarInx">Statistics!$B$6</definedName>
    <definedName name="covRange">Statistics!$B$6:$G$11</definedName>
    <definedName name="DateInx">Data!$A$2</definedName>
    <definedName name="firstObs">Data!$B$3</definedName>
    <definedName name="initInvest">Data!$S$24</definedName>
    <definedName name="MatZ">'Matrix Z'!$A$2:$F$32</definedName>
    <definedName name="mean">Data!$W$25</definedName>
    <definedName name="means">Statistics!$A$2</definedName>
    <definedName name="nLoop">Data!$W$15</definedName>
    <definedName name="NumAsset">Data!$Q$6</definedName>
    <definedName name="NumPeriod">Data!$Q$5</definedName>
    <definedName name="NumSim">Data!$Q$4</definedName>
    <definedName name="PLInx">Data!$Q$26</definedName>
    <definedName name="portRet">Data!$T$28</definedName>
    <definedName name="portStd">Data!$T$29</definedName>
    <definedName name="PriceInx">Data!$Q$17</definedName>
    <definedName name="ReturnInx">Data!$I$3</definedName>
    <definedName name="returnRange">Data!$I$4:$N$245</definedName>
    <definedName name="RF">Data!$W$16</definedName>
    <definedName name="SceneINx">Data!$P$26</definedName>
    <definedName name="SCIB_MUE">Statistics!$B$2</definedName>
    <definedName name="SCIB_S0">Data!$Q$18</definedName>
    <definedName name="SCIB_SIGMA">Statistics!$B$3</definedName>
    <definedName name="sharpe">Data!$W$24</definedName>
    <definedName name="statRange">Statistics!$B$2:$G$3</definedName>
    <definedName name="std">Statistics!$A$3</definedName>
    <definedName name="totCap">Data!$T$15</definedName>
    <definedName name="UnitInx">Data!$R$17</definedName>
    <definedName name="VaR">Data!$T$27</definedName>
    <definedName name="vol">Data!$W$26</definedName>
    <definedName name="weightInx">Data!$T$17</definedName>
  </definedNames>
  <calcPr calcId="125725"/>
</workbook>
</file>

<file path=xl/calcChain.xml><?xml version="1.0" encoding="utf-8"?>
<calcChain xmlns="http://schemas.openxmlformats.org/spreadsheetml/2006/main">
  <c r="V2" i="12"/>
  <c r="O2" a="1"/>
  <c r="P2" s="1"/>
  <c r="S19" i="2"/>
  <c r="R19"/>
  <c r="S20"/>
  <c r="R20"/>
  <c r="S21"/>
  <c r="R21"/>
  <c r="S22"/>
  <c r="R22"/>
  <c r="S23"/>
  <c r="R23"/>
  <c r="S18"/>
  <c r="R18"/>
  <c r="T24"/>
  <c r="J2"/>
  <c r="K2"/>
  <c r="L2"/>
  <c r="M2"/>
  <c r="N2"/>
  <c r="I2"/>
  <c r="S24"/>
  <c r="S31" i="12" l="1"/>
  <c r="O31"/>
  <c r="Q30"/>
  <c r="S29"/>
  <c r="O29"/>
  <c r="Q28"/>
  <c r="S27"/>
  <c r="O27"/>
  <c r="Q26"/>
  <c r="S25"/>
  <c r="O25"/>
  <c r="Q24"/>
  <c r="S23"/>
  <c r="O23"/>
  <c r="Q22"/>
  <c r="S21"/>
  <c r="O21"/>
  <c r="Q20"/>
  <c r="S19"/>
  <c r="O19"/>
  <c r="Q18"/>
  <c r="S17"/>
  <c r="O17"/>
  <c r="Q16"/>
  <c r="S15"/>
  <c r="O15"/>
  <c r="Q14"/>
  <c r="S13"/>
  <c r="O13"/>
  <c r="Q12"/>
  <c r="S11"/>
  <c r="O11"/>
  <c r="Q10"/>
  <c r="S9"/>
  <c r="O9"/>
  <c r="Q8"/>
  <c r="S7"/>
  <c r="O7"/>
  <c r="Q6"/>
  <c r="S5"/>
  <c r="O5"/>
  <c r="Q4"/>
  <c r="S3"/>
  <c r="O3"/>
  <c r="Q2"/>
  <c r="T31"/>
  <c r="P31"/>
  <c r="R30"/>
  <c r="T29"/>
  <c r="P29"/>
  <c r="R28"/>
  <c r="T27"/>
  <c r="P27"/>
  <c r="R26"/>
  <c r="T25"/>
  <c r="P25"/>
  <c r="R24"/>
  <c r="T23"/>
  <c r="P23"/>
  <c r="R22"/>
  <c r="T21"/>
  <c r="P21"/>
  <c r="R20"/>
  <c r="T19"/>
  <c r="P19"/>
  <c r="R18"/>
  <c r="T17"/>
  <c r="P17"/>
  <c r="R16"/>
  <c r="T15"/>
  <c r="P15"/>
  <c r="R14"/>
  <c r="T13"/>
  <c r="P13"/>
  <c r="R12"/>
  <c r="T11"/>
  <c r="P11"/>
  <c r="R10"/>
  <c r="T9"/>
  <c r="P9"/>
  <c r="R8"/>
  <c r="T7"/>
  <c r="P7"/>
  <c r="R6"/>
  <c r="T5"/>
  <c r="P5"/>
  <c r="R4"/>
  <c r="T3"/>
  <c r="P3"/>
  <c r="R2"/>
  <c r="Q31"/>
  <c r="S30"/>
  <c r="O30"/>
  <c r="Q29"/>
  <c r="S28"/>
  <c r="O28"/>
  <c r="Q27"/>
  <c r="S26"/>
  <c r="O26"/>
  <c r="Q25"/>
  <c r="S24"/>
  <c r="O24"/>
  <c r="Q23"/>
  <c r="S22"/>
  <c r="O22"/>
  <c r="Q21"/>
  <c r="S20"/>
  <c r="O20"/>
  <c r="Q19"/>
  <c r="S18"/>
  <c r="O18"/>
  <c r="Q17"/>
  <c r="S16"/>
  <c r="O16"/>
  <c r="Q15"/>
  <c r="S14"/>
  <c r="O14"/>
  <c r="Q13"/>
  <c r="S12"/>
  <c r="O12"/>
  <c r="Q11"/>
  <c r="S10"/>
  <c r="O10"/>
  <c r="Q9"/>
  <c r="S8"/>
  <c r="O8"/>
  <c r="Q7"/>
  <c r="S6"/>
  <c r="O6"/>
  <c r="Q5"/>
  <c r="S4"/>
  <c r="O4"/>
  <c r="Q3"/>
  <c r="S2"/>
  <c r="O2"/>
  <c r="W2" s="1"/>
  <c r="R31"/>
  <c r="T30"/>
  <c r="P30"/>
  <c r="R29"/>
  <c r="T28"/>
  <c r="P28"/>
  <c r="R27"/>
  <c r="T26"/>
  <c r="P26"/>
  <c r="R25"/>
  <c r="T24"/>
  <c r="P24"/>
  <c r="R23"/>
  <c r="T22"/>
  <c r="P22"/>
  <c r="R21"/>
  <c r="T20"/>
  <c r="P20"/>
  <c r="R19"/>
  <c r="T18"/>
  <c r="P18"/>
  <c r="R17"/>
  <c r="T16"/>
  <c r="P16"/>
  <c r="R15"/>
  <c r="T14"/>
  <c r="P14"/>
  <c r="R13"/>
  <c r="T12"/>
  <c r="P12"/>
  <c r="R11"/>
  <c r="T10"/>
  <c r="P10"/>
  <c r="R9"/>
  <c r="T8"/>
  <c r="P8"/>
  <c r="R7"/>
  <c r="T6"/>
  <c r="P6"/>
  <c r="R5"/>
  <c r="T4"/>
  <c r="P4"/>
  <c r="R3"/>
  <c r="T2"/>
</calcChain>
</file>

<file path=xl/sharedStrings.xml><?xml version="1.0" encoding="utf-8"?>
<sst xmlns="http://schemas.openxmlformats.org/spreadsheetml/2006/main" count="96" uniqueCount="48">
  <si>
    <t>Date</t>
  </si>
  <si>
    <t>Historical Price</t>
  </si>
  <si>
    <t>Historical Return</t>
  </si>
  <si>
    <t>SCIB</t>
  </si>
  <si>
    <t>PS</t>
  </si>
  <si>
    <t>KCE</t>
  </si>
  <si>
    <t>CPF</t>
  </si>
  <si>
    <t>TPIP</t>
  </si>
  <si>
    <t>TCAP</t>
  </si>
  <si>
    <t>Daily Mean</t>
  </si>
  <si>
    <t>Daily Volatility</t>
  </si>
  <si>
    <t>Descriptive 
Statistics</t>
  </si>
  <si>
    <t>Covariance
Matrix</t>
  </si>
  <si>
    <t>Correlation
Matrix</t>
  </si>
  <si>
    <t>Cholesky
Matrix</t>
  </si>
  <si>
    <t>NumSim</t>
  </si>
  <si>
    <t>NumPeriod</t>
  </si>
  <si>
    <t>NumAsset</t>
  </si>
  <si>
    <t>Stock</t>
  </si>
  <si>
    <t>S0</t>
  </si>
  <si>
    <t>Unit</t>
  </si>
  <si>
    <t>Value</t>
  </si>
  <si>
    <t>Scene</t>
  </si>
  <si>
    <t>P/L</t>
  </si>
  <si>
    <t>Step1</t>
  </si>
  <si>
    <t>(then go to Statistics sheet)</t>
  </si>
  <si>
    <t>Step2</t>
  </si>
  <si>
    <t>Step3</t>
  </si>
  <si>
    <t>Step4</t>
  </si>
  <si>
    <t>Step5</t>
  </si>
  <si>
    <t>Step6 - Done!</t>
  </si>
  <si>
    <t>Check each asset price path!</t>
  </si>
  <si>
    <t>Total Capital</t>
  </si>
  <si>
    <t xml:space="preserve">Pre-req: Descriptive Stat </t>
  </si>
  <si>
    <t>and Covariance Matrix is Caled</t>
  </si>
  <si>
    <t>nLoop</t>
  </si>
  <si>
    <t>RF</t>
  </si>
  <si>
    <t>%Weight</t>
  </si>
  <si>
    <t>mean</t>
  </si>
  <si>
    <t>vol</t>
  </si>
  <si>
    <t>Shape</t>
  </si>
  <si>
    <t>port VaR</t>
  </si>
  <si>
    <t>port Return</t>
  </si>
  <si>
    <t>port Std</t>
  </si>
  <si>
    <t>Z matrix at Final t=nPeriod</t>
  </si>
  <si>
    <t>X=Z.transpose(cholesky) matrix at Final t=nPeriod</t>
  </si>
  <si>
    <t>SCIB at nPeriod-1</t>
  </si>
  <si>
    <t>SCIB at Final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</si>
</sst>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_-* #,##0.00_-;\-* #,##0.00_-;_-* &quot;-&quot;??_-;_-@_-"/>
    <numFmt numFmtId="165" formatCode="dd/mm/yyyy"/>
  </numFmts>
  <fonts count="1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6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5" fillId="2" borderId="1" xfId="0" applyFont="1" applyFill="1" applyBorder="1"/>
    <xf numFmtId="0" fontId="6" fillId="2" borderId="0" xfId="0" applyFont="1" applyFill="1"/>
    <xf numFmtId="0" fontId="7" fillId="2" borderId="1" xfId="0" applyFont="1" applyFill="1" applyBorder="1" applyAlignment="1">
      <alignment wrapText="1"/>
    </xf>
    <xf numFmtId="0" fontId="3" fillId="0" borderId="0" xfId="0" applyFont="1" applyFill="1"/>
    <xf numFmtId="0" fontId="3" fillId="0" borderId="1" xfId="0" applyFont="1" applyFill="1" applyBorder="1"/>
    <xf numFmtId="0" fontId="6" fillId="0" borderId="0" xfId="0" applyFont="1" applyFill="1"/>
    <xf numFmtId="0" fontId="5" fillId="0" borderId="0" xfId="0" applyFont="1" applyFill="1"/>
    <xf numFmtId="165" fontId="4" fillId="0" borderId="2" xfId="0" applyNumberFormat="1" applyFont="1" applyFill="1" applyBorder="1"/>
    <xf numFmtId="0" fontId="0" fillId="0" borderId="0" xfId="0" applyFill="1"/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8" fillId="5" borderId="0" xfId="0" applyFont="1" applyFill="1" applyAlignment="1">
      <alignment horizontal="center"/>
    </xf>
    <xf numFmtId="0" fontId="5" fillId="2" borderId="0" xfId="0" applyFont="1" applyFill="1"/>
    <xf numFmtId="0" fontId="3" fillId="6" borderId="0" xfId="0" applyFont="1" applyFill="1"/>
    <xf numFmtId="0" fontId="5" fillId="2" borderId="3" xfId="0" applyFont="1" applyFill="1" applyBorder="1"/>
    <xf numFmtId="0" fontId="5" fillId="2" borderId="1" xfId="0" applyFont="1" applyFill="1" applyBorder="1" applyAlignment="1">
      <alignment horizontal="center"/>
    </xf>
    <xf numFmtId="0" fontId="9" fillId="0" borderId="0" xfId="0" applyFont="1" applyFill="1"/>
    <xf numFmtId="0" fontId="5" fillId="2" borderId="4" xfId="0" applyFont="1" applyFill="1" applyBorder="1"/>
    <xf numFmtId="0" fontId="7" fillId="7" borderId="0" xfId="0" applyFont="1" applyFill="1"/>
    <xf numFmtId="43" fontId="3" fillId="6" borderId="0" xfId="1" applyFont="1" applyFill="1"/>
    <xf numFmtId="43" fontId="3" fillId="0" borderId="0" xfId="1" applyFont="1" applyFill="1"/>
    <xf numFmtId="164" fontId="3" fillId="0" borderId="0" xfId="0" applyNumberFormat="1" applyFont="1" applyFill="1" applyBorder="1"/>
    <xf numFmtId="9" fontId="3" fillId="6" borderId="0" xfId="0" applyNumberFormat="1" applyFont="1" applyFill="1"/>
    <xf numFmtId="0" fontId="5" fillId="2" borderId="5" xfId="0" applyFont="1" applyFill="1" applyBorder="1"/>
    <xf numFmtId="0" fontId="8" fillId="7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/>
    <xf numFmtId="0" fontId="11" fillId="0" borderId="0" xfId="0" applyFont="1" applyFill="1"/>
    <xf numFmtId="0" fontId="8" fillId="8" borderId="0" xfId="0" applyFont="1" applyFill="1" applyAlignment="1">
      <alignment horizontal="center"/>
    </xf>
    <xf numFmtId="0" fontId="8" fillId="5" borderId="0" xfId="0" applyFont="1" applyFill="1"/>
    <xf numFmtId="0" fontId="7" fillId="9" borderId="0" xfId="0" applyFont="1" applyFill="1"/>
    <xf numFmtId="9" fontId="3" fillId="6" borderId="0" xfId="2" applyFont="1" applyFill="1"/>
    <xf numFmtId="9" fontId="3" fillId="6" borderId="0" xfId="2" applyFont="1" applyFill="1" applyBorder="1"/>
    <xf numFmtId="0" fontId="7" fillId="9" borderId="0" xfId="0" applyFont="1" applyFill="1" applyBorder="1"/>
    <xf numFmtId="0" fontId="3" fillId="6" borderId="0" xfId="0" applyFont="1" applyFill="1" applyBorder="1"/>
    <xf numFmtId="10" fontId="3" fillId="6" borderId="0" xfId="2" applyNumberFormat="1" applyFont="1" applyFill="1" applyBorder="1"/>
    <xf numFmtId="4" fontId="9" fillId="6" borderId="0" xfId="1" applyNumberFormat="1" applyFont="1" applyFill="1"/>
    <xf numFmtId="0" fontId="3" fillId="10" borderId="0" xfId="0" applyFont="1" applyFill="1"/>
    <xf numFmtId="0" fontId="0" fillId="10" borderId="0" xfId="0" applyFill="1"/>
    <xf numFmtId="0" fontId="3" fillId="11" borderId="0" xfId="0" applyFont="1" applyFill="1"/>
    <xf numFmtId="0" fontId="0" fillId="11" borderId="0" xfId="0" applyFill="1"/>
    <xf numFmtId="0" fontId="3" fillId="12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W245"/>
  <sheetViews>
    <sheetView workbookViewId="0">
      <selection activeCell="P15" sqref="P15"/>
    </sheetView>
  </sheetViews>
  <sheetFormatPr defaultRowHeight="12.75"/>
  <cols>
    <col min="1" max="1" width="10.42578125" style="4" customWidth="1"/>
    <col min="2" max="2" width="6" style="4" bestFit="1" customWidth="1"/>
    <col min="3" max="6" width="5" style="4" bestFit="1" customWidth="1"/>
    <col min="7" max="7" width="5.85546875" style="4" bestFit="1" customWidth="1"/>
    <col min="8" max="8" width="2.140625" style="4" customWidth="1"/>
    <col min="9" max="14" width="9.140625" style="4"/>
    <col min="15" max="15" width="1.5703125" style="4" customWidth="1"/>
    <col min="16" max="16" width="10.140625" style="28" bestFit="1" customWidth="1"/>
    <col min="17" max="17" width="9.140625" style="4"/>
    <col min="18" max="18" width="11.28515625" style="4" customWidth="1"/>
    <col min="19" max="20" width="12.85546875" style="4" bestFit="1" customWidth="1"/>
    <col min="21" max="16384" width="9.140625" style="4"/>
  </cols>
  <sheetData>
    <row r="1" spans="1:23" ht="15.75">
      <c r="A1" s="2" t="s">
        <v>1</v>
      </c>
      <c r="B1" s="2"/>
      <c r="C1" s="2"/>
      <c r="D1" s="2"/>
      <c r="E1" s="2"/>
      <c r="F1" s="2"/>
      <c r="G1" s="2"/>
      <c r="H1" s="6"/>
      <c r="I1" s="2" t="s">
        <v>2</v>
      </c>
      <c r="J1" s="2"/>
      <c r="K1" s="2"/>
      <c r="L1" s="2"/>
      <c r="M1" s="2"/>
      <c r="N1" s="2"/>
      <c r="P1" s="4"/>
    </row>
    <row r="2" spans="1:23">
      <c r="A2" s="1" t="s">
        <v>0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7"/>
      <c r="I2" s="1" t="str">
        <f t="shared" ref="I2:N2" si="0">B2</f>
        <v>SCIB</v>
      </c>
      <c r="J2" s="1" t="str">
        <f t="shared" si="0"/>
        <v>PS</v>
      </c>
      <c r="K2" s="1" t="str">
        <f t="shared" si="0"/>
        <v>KCE</v>
      </c>
      <c r="L2" s="1" t="str">
        <f t="shared" si="0"/>
        <v>CPF</v>
      </c>
      <c r="M2" s="1" t="str">
        <f t="shared" si="0"/>
        <v>TPIP</v>
      </c>
      <c r="N2" s="1" t="str">
        <f t="shared" si="0"/>
        <v>TCAP</v>
      </c>
      <c r="P2" s="4"/>
    </row>
    <row r="3" spans="1:23">
      <c r="A3" s="8">
        <v>39783</v>
      </c>
      <c r="B3" s="4">
        <v>6.6</v>
      </c>
      <c r="C3" s="4">
        <v>3.42</v>
      </c>
      <c r="D3" s="4">
        <v>1.04</v>
      </c>
      <c r="E3" s="4">
        <v>2.8</v>
      </c>
      <c r="F3" s="4">
        <v>2.42</v>
      </c>
      <c r="G3" s="4">
        <v>6.7</v>
      </c>
      <c r="P3" s="4"/>
    </row>
    <row r="4" spans="1:23">
      <c r="A4" s="8">
        <v>39784</v>
      </c>
      <c r="B4" s="4">
        <v>6.2</v>
      </c>
      <c r="C4" s="4">
        <v>3.42</v>
      </c>
      <c r="D4" s="4">
        <v>1.0900000000000001</v>
      </c>
      <c r="E4" s="4">
        <v>2.8</v>
      </c>
      <c r="F4" s="4">
        <v>2.48</v>
      </c>
      <c r="G4" s="4">
        <v>6.55</v>
      </c>
      <c r="I4" s="4">
        <v>-6.252035698133393E-2</v>
      </c>
      <c r="J4" s="4">
        <v>0</v>
      </c>
      <c r="K4" s="4">
        <v>4.6956983087771083E-2</v>
      </c>
      <c r="L4" s="4">
        <v>0</v>
      </c>
      <c r="M4" s="4">
        <v>2.4491020008295696E-2</v>
      </c>
      <c r="N4" s="4">
        <v>-2.2642476749759891E-2</v>
      </c>
      <c r="P4" s="10" t="s">
        <v>15</v>
      </c>
      <c r="Q4" s="10">
        <v>30</v>
      </c>
    </row>
    <row r="5" spans="1:23">
      <c r="A5" s="8">
        <v>39785</v>
      </c>
      <c r="B5" s="4">
        <v>6.25</v>
      </c>
      <c r="C5" s="4">
        <v>3.46</v>
      </c>
      <c r="D5" s="4">
        <v>1.1100000000000001</v>
      </c>
      <c r="E5" s="4">
        <v>2.84</v>
      </c>
      <c r="F5" s="4">
        <v>2.44</v>
      </c>
      <c r="G5" s="4">
        <v>6.65</v>
      </c>
      <c r="I5" s="4">
        <v>8.0321716972642527E-3</v>
      </c>
      <c r="J5" s="4">
        <v>1.1628037995119214E-2</v>
      </c>
      <c r="K5" s="4">
        <v>1.8182319083190547E-2</v>
      </c>
      <c r="L5" s="4">
        <v>1.4184634991956381E-2</v>
      </c>
      <c r="M5" s="4">
        <v>-1.6260520871780291E-2</v>
      </c>
      <c r="N5" s="4">
        <v>1.5151805020602246E-2</v>
      </c>
      <c r="P5" s="12" t="s">
        <v>16</v>
      </c>
      <c r="Q5" s="12">
        <v>15</v>
      </c>
    </row>
    <row r="6" spans="1:23">
      <c r="A6" s="8">
        <v>39786</v>
      </c>
      <c r="B6" s="4">
        <v>6.15</v>
      </c>
      <c r="C6" s="4">
        <v>3.3</v>
      </c>
      <c r="D6" s="4">
        <v>1.1100000000000001</v>
      </c>
      <c r="E6" s="4">
        <v>2.84</v>
      </c>
      <c r="F6" s="4">
        <v>2.44</v>
      </c>
      <c r="G6" s="4">
        <v>6.35</v>
      </c>
      <c r="I6" s="4">
        <v>-1.6129381929883529E-2</v>
      </c>
      <c r="J6" s="4">
        <v>-4.7346120597198428E-2</v>
      </c>
      <c r="K6" s="4">
        <v>0</v>
      </c>
      <c r="L6" s="4">
        <v>0</v>
      </c>
      <c r="M6" s="4">
        <v>0</v>
      </c>
      <c r="N6" s="4">
        <v>-4.6162041763162603E-2</v>
      </c>
      <c r="P6" s="11" t="s">
        <v>17</v>
      </c>
      <c r="Q6" s="11">
        <v>6</v>
      </c>
    </row>
    <row r="7" spans="1:23">
      <c r="A7" s="8">
        <v>39790</v>
      </c>
      <c r="B7" s="4">
        <v>6.45</v>
      </c>
      <c r="C7" s="4">
        <v>3.96</v>
      </c>
      <c r="D7" s="4">
        <v>1.1100000000000001</v>
      </c>
      <c r="E7" s="4">
        <v>2.86</v>
      </c>
      <c r="F7" s="4">
        <v>2.5</v>
      </c>
      <c r="G7" s="4">
        <v>7</v>
      </c>
      <c r="I7" s="4">
        <v>4.7628048989254664E-2</v>
      </c>
      <c r="J7" s="4">
        <v>0.18232155679395459</v>
      </c>
      <c r="K7" s="4">
        <v>0</v>
      </c>
      <c r="L7" s="4">
        <v>7.0175726586465398E-3</v>
      </c>
      <c r="M7" s="4">
        <v>2.4292692569044483E-2</v>
      </c>
      <c r="N7" s="4">
        <v>9.7455336150713057E-2</v>
      </c>
      <c r="P7" s="4"/>
    </row>
    <row r="8" spans="1:23">
      <c r="A8" s="8">
        <v>39791</v>
      </c>
      <c r="B8" s="4">
        <v>6.8</v>
      </c>
      <c r="C8" s="4">
        <v>4.0599999999999996</v>
      </c>
      <c r="D8" s="4">
        <v>1.1000000000000001</v>
      </c>
      <c r="E8" s="4">
        <v>2.92</v>
      </c>
      <c r="F8" s="4">
        <v>2.62</v>
      </c>
      <c r="G8" s="4">
        <v>7</v>
      </c>
      <c r="I8" s="4">
        <v>5.2842481374379774E-2</v>
      </c>
      <c r="J8" s="4">
        <v>2.4938948347251931E-2</v>
      </c>
      <c r="K8" s="4">
        <v>-9.0498355199179273E-3</v>
      </c>
      <c r="L8" s="4">
        <v>2.0761991448429225E-2</v>
      </c>
      <c r="M8" s="4">
        <v>4.6883585898850458E-2</v>
      </c>
      <c r="N8" s="4">
        <v>0</v>
      </c>
      <c r="P8" s="4"/>
    </row>
    <row r="9" spans="1:23">
      <c r="A9" s="8">
        <v>39793</v>
      </c>
      <c r="B9" s="4">
        <v>6.9</v>
      </c>
      <c r="C9" s="4">
        <v>3.8</v>
      </c>
      <c r="D9" s="4">
        <v>1.1000000000000001</v>
      </c>
      <c r="E9" s="4">
        <v>2.94</v>
      </c>
      <c r="F9" s="4">
        <v>2.6</v>
      </c>
      <c r="G9" s="4">
        <v>6.7</v>
      </c>
      <c r="I9" s="4">
        <v>1.4598799421152851E-2</v>
      </c>
      <c r="J9" s="4">
        <v>-6.61819068813011E-2</v>
      </c>
      <c r="K9" s="4">
        <v>0</v>
      </c>
      <c r="L9" s="4">
        <v>6.8259650703998906E-3</v>
      </c>
      <c r="M9" s="4">
        <v>-7.6628727455691371E-3</v>
      </c>
      <c r="N9" s="4">
        <v>-4.3802622658392888E-2</v>
      </c>
      <c r="P9" s="4"/>
    </row>
    <row r="10" spans="1:23">
      <c r="A10" s="8">
        <v>39794</v>
      </c>
      <c r="B10" s="4">
        <v>6.95</v>
      </c>
      <c r="C10" s="4">
        <v>3.9</v>
      </c>
      <c r="D10" s="4">
        <v>1.0900000000000001</v>
      </c>
      <c r="E10" s="4">
        <v>2.94</v>
      </c>
      <c r="F10" s="4">
        <v>2.6</v>
      </c>
      <c r="G10" s="4">
        <v>6.7</v>
      </c>
      <c r="I10" s="4">
        <v>7.2202479734870973E-3</v>
      </c>
      <c r="J10" s="4">
        <v>2.5975486403260736E-2</v>
      </c>
      <c r="K10" s="4">
        <v>-9.1324835632725868E-3</v>
      </c>
      <c r="L10" s="4">
        <v>0</v>
      </c>
      <c r="M10" s="4">
        <v>0</v>
      </c>
      <c r="N10" s="4">
        <v>0</v>
      </c>
      <c r="P10" s="4"/>
      <c r="R10" s="18" t="s">
        <v>24</v>
      </c>
      <c r="S10" s="18" t="s">
        <v>25</v>
      </c>
    </row>
    <row r="11" spans="1:23">
      <c r="A11" s="8">
        <v>39797</v>
      </c>
      <c r="B11" s="4">
        <v>6.9</v>
      </c>
      <c r="C11" s="4">
        <v>4.22</v>
      </c>
      <c r="D11" s="4">
        <v>1.06</v>
      </c>
      <c r="E11" s="4">
        <v>2.98</v>
      </c>
      <c r="F11" s="4">
        <v>2.76</v>
      </c>
      <c r="G11" s="4">
        <v>6.65</v>
      </c>
      <c r="I11" s="4">
        <v>-7.2202479734870201E-3</v>
      </c>
      <c r="J11" s="4">
        <v>7.8858574912319623E-2</v>
      </c>
      <c r="K11" s="4">
        <v>-2.7908788117076616E-2</v>
      </c>
      <c r="L11" s="4">
        <v>1.3513719166722855E-2</v>
      </c>
      <c r="M11" s="4">
        <v>5.9719234701622069E-2</v>
      </c>
      <c r="N11" s="4">
        <v>-7.4906717291576257E-3</v>
      </c>
      <c r="P11" s="4"/>
    </row>
    <row r="12" spans="1:23">
      <c r="A12" s="8">
        <v>39798</v>
      </c>
      <c r="B12" s="4">
        <v>7</v>
      </c>
      <c r="C12" s="4">
        <v>4.24</v>
      </c>
      <c r="D12" s="4">
        <v>1.06</v>
      </c>
      <c r="E12" s="4">
        <v>2.98</v>
      </c>
      <c r="F12" s="4">
        <v>2.86</v>
      </c>
      <c r="G12" s="4">
        <v>6.75</v>
      </c>
      <c r="I12" s="4">
        <v>1.4388737452099452E-2</v>
      </c>
      <c r="J12" s="4">
        <v>4.728141195946116E-3</v>
      </c>
      <c r="K12" s="4">
        <v>0</v>
      </c>
      <c r="L12" s="4">
        <v>0</v>
      </c>
      <c r="M12" s="4">
        <v>3.5590945102702533E-2</v>
      </c>
      <c r="N12" s="4">
        <v>1.4925650216675574E-2</v>
      </c>
      <c r="P12" s="4"/>
    </row>
    <row r="13" spans="1:23">
      <c r="A13" s="8">
        <v>39799</v>
      </c>
      <c r="B13" s="4">
        <v>6.9</v>
      </c>
      <c r="C13" s="4">
        <v>4.58</v>
      </c>
      <c r="D13" s="4">
        <v>1.04</v>
      </c>
      <c r="E13" s="4">
        <v>2.98</v>
      </c>
      <c r="F13" s="4">
        <v>2.82</v>
      </c>
      <c r="G13" s="4">
        <v>6.8</v>
      </c>
      <c r="I13" s="4">
        <v>-1.4388737452099556E-2</v>
      </c>
      <c r="J13" s="4">
        <v>7.7135728882227236E-2</v>
      </c>
      <c r="K13" s="4">
        <v>-1.9048194970694474E-2</v>
      </c>
      <c r="L13" s="4">
        <v>0</v>
      </c>
      <c r="M13" s="4">
        <v>-1.4084739881738972E-2</v>
      </c>
      <c r="N13" s="4">
        <v>7.38010729762246E-3</v>
      </c>
      <c r="P13" s="4"/>
    </row>
    <row r="14" spans="1:23">
      <c r="A14" s="8">
        <v>39800</v>
      </c>
      <c r="B14" s="4">
        <v>7</v>
      </c>
      <c r="C14" s="4">
        <v>4.58</v>
      </c>
      <c r="D14" s="4">
        <v>1.02</v>
      </c>
      <c r="E14" s="4">
        <v>2.86</v>
      </c>
      <c r="F14" s="4">
        <v>2.92</v>
      </c>
      <c r="G14" s="4">
        <v>6.8</v>
      </c>
      <c r="I14" s="4">
        <v>1.4388737452099452E-2</v>
      </c>
      <c r="J14" s="4">
        <v>0</v>
      </c>
      <c r="K14" s="4">
        <v>-1.9418085857101627E-2</v>
      </c>
      <c r="L14" s="4">
        <v>-4.1101675685551918E-2</v>
      </c>
      <c r="M14" s="4">
        <v>3.48467313301681E-2</v>
      </c>
      <c r="N14" s="4">
        <v>0</v>
      </c>
      <c r="P14" s="4"/>
    </row>
    <row r="15" spans="1:23">
      <c r="A15" s="8">
        <v>39801</v>
      </c>
      <c r="B15" s="4">
        <v>7.35</v>
      </c>
      <c r="C15" s="4">
        <v>4.5199999999999996</v>
      </c>
      <c r="D15" s="4">
        <v>1</v>
      </c>
      <c r="E15" s="4">
        <v>2.88</v>
      </c>
      <c r="F15" s="4">
        <v>3.48</v>
      </c>
      <c r="G15" s="4">
        <v>6.7</v>
      </c>
      <c r="I15" s="4">
        <v>4.8790164169432049E-2</v>
      </c>
      <c r="J15" s="4">
        <v>-1.3187004281953914E-2</v>
      </c>
      <c r="K15" s="4">
        <v>-1.9802627296179754E-2</v>
      </c>
      <c r="L15" s="4">
        <v>6.9686693160934355E-3</v>
      </c>
      <c r="M15" s="4">
        <v>0.17544867750619267</v>
      </c>
      <c r="N15" s="4">
        <v>-1.4815085785140587E-2</v>
      </c>
      <c r="P15" s="4"/>
      <c r="R15" s="20" t="s">
        <v>32</v>
      </c>
      <c r="S15" s="20"/>
      <c r="T15" s="21">
        <v>1000000</v>
      </c>
      <c r="V15" s="35" t="s">
        <v>35</v>
      </c>
      <c r="W15" s="36">
        <v>1000</v>
      </c>
    </row>
    <row r="16" spans="1:23">
      <c r="A16" s="8">
        <v>39804</v>
      </c>
      <c r="B16" s="4">
        <v>7.2</v>
      </c>
      <c r="C16" s="4">
        <v>4.22</v>
      </c>
      <c r="D16" s="4">
        <v>1</v>
      </c>
      <c r="E16" s="4">
        <v>2.84</v>
      </c>
      <c r="F16" s="4">
        <v>3.22</v>
      </c>
      <c r="G16" s="4">
        <v>6.6</v>
      </c>
      <c r="I16" s="4">
        <v>-2.0619287202735592E-2</v>
      </c>
      <c r="J16" s="4">
        <v>-6.8676865796219372E-2</v>
      </c>
      <c r="K16" s="4">
        <v>0</v>
      </c>
      <c r="L16" s="4">
        <v>-1.3986241974739952E-2</v>
      </c>
      <c r="M16" s="4">
        <v>-7.7650934230065999E-2</v>
      </c>
      <c r="N16" s="4">
        <v>-1.5037877364540559E-2</v>
      </c>
      <c r="P16" s="4"/>
      <c r="V16" s="35" t="s">
        <v>36</v>
      </c>
      <c r="W16" s="37">
        <v>2.5000000000000001E-2</v>
      </c>
    </row>
    <row r="17" spans="1:23">
      <c r="A17" s="8">
        <v>39805</v>
      </c>
      <c r="B17" s="4">
        <v>7.25</v>
      </c>
      <c r="C17" s="4">
        <v>4.28</v>
      </c>
      <c r="D17" s="4">
        <v>0.93</v>
      </c>
      <c r="E17" s="4">
        <v>2.94</v>
      </c>
      <c r="F17" s="4">
        <v>3.36</v>
      </c>
      <c r="G17" s="4">
        <v>6.75</v>
      </c>
      <c r="I17" s="4">
        <v>6.920442844573757E-3</v>
      </c>
      <c r="J17" s="4">
        <v>1.4117881545785022E-2</v>
      </c>
      <c r="K17" s="4">
        <v>-7.2570692834835374E-2</v>
      </c>
      <c r="L17" s="4">
        <v>3.4605529177475523E-2</v>
      </c>
      <c r="M17" s="4">
        <v>4.2559614418795903E-2</v>
      </c>
      <c r="N17" s="4">
        <v>2.2472855852058576E-2</v>
      </c>
      <c r="P17" s="1" t="s">
        <v>18</v>
      </c>
      <c r="Q17" s="1" t="s">
        <v>19</v>
      </c>
      <c r="R17" s="1" t="s">
        <v>20</v>
      </c>
      <c r="S17" s="1" t="s">
        <v>21</v>
      </c>
      <c r="T17" s="19" t="s">
        <v>37</v>
      </c>
    </row>
    <row r="18" spans="1:23">
      <c r="A18" s="8">
        <v>39806</v>
      </c>
      <c r="B18" s="4">
        <v>7.25</v>
      </c>
      <c r="C18" s="4">
        <v>4.34</v>
      </c>
      <c r="D18" s="4">
        <v>0.89</v>
      </c>
      <c r="E18" s="4">
        <v>2.92</v>
      </c>
      <c r="F18" s="4">
        <v>3.22</v>
      </c>
      <c r="G18" s="4">
        <v>7</v>
      </c>
      <c r="I18" s="4">
        <v>0</v>
      </c>
      <c r="J18" s="4">
        <v>1.3921338518608014E-2</v>
      </c>
      <c r="K18" s="4">
        <v>-4.3963123421116176E-2</v>
      </c>
      <c r="L18" s="4">
        <v>-6.8259650703998706E-3</v>
      </c>
      <c r="M18" s="4">
        <v>-4.2559614418795771E-2</v>
      </c>
      <c r="N18" s="4">
        <v>3.6367644170874791E-2</v>
      </c>
      <c r="P18" s="16" t="s">
        <v>3</v>
      </c>
      <c r="Q18" s="4">
        <v>28.75</v>
      </c>
      <c r="R18" s="23">
        <f t="shared" ref="R18:R23" si="1">S18/Q18</f>
        <v>4650.5829562311583</v>
      </c>
      <c r="S18" s="22">
        <f t="shared" ref="S18:S23" si="2">T18*$T$15</f>
        <v>133704.25999164581</v>
      </c>
      <c r="T18" s="24">
        <v>0.13370425999164581</v>
      </c>
    </row>
    <row r="19" spans="1:23">
      <c r="A19" s="8">
        <v>39807</v>
      </c>
      <c r="B19" s="4">
        <v>7.2</v>
      </c>
      <c r="C19" s="4">
        <v>4.62</v>
      </c>
      <c r="D19" s="4">
        <v>0.89</v>
      </c>
      <c r="E19" s="4">
        <v>2.94</v>
      </c>
      <c r="F19" s="4">
        <v>3.36</v>
      </c>
      <c r="G19" s="4">
        <v>7.05</v>
      </c>
      <c r="I19" s="4">
        <v>-6.9204428445737952E-3</v>
      </c>
      <c r="J19" s="4">
        <v>6.2520356981334138E-2</v>
      </c>
      <c r="K19" s="4">
        <v>0</v>
      </c>
      <c r="L19" s="4">
        <v>6.8259650703998906E-3</v>
      </c>
      <c r="M19" s="4">
        <v>4.2559614418795903E-2</v>
      </c>
      <c r="N19" s="4">
        <v>7.1174677688639549E-3</v>
      </c>
      <c r="P19" s="1" t="s">
        <v>4</v>
      </c>
      <c r="Q19" s="4">
        <v>15.8</v>
      </c>
      <c r="R19" s="23">
        <f t="shared" si="1"/>
        <v>8378.8701250583308</v>
      </c>
      <c r="S19" s="22">
        <f t="shared" si="2"/>
        <v>132386.14797592163</v>
      </c>
      <c r="T19" s="24">
        <v>0.13238614797592163</v>
      </c>
    </row>
    <row r="20" spans="1:23">
      <c r="A20" s="8">
        <v>39808</v>
      </c>
      <c r="B20" s="4">
        <v>7.2</v>
      </c>
      <c r="C20" s="4">
        <v>4.5999999999999996</v>
      </c>
      <c r="D20" s="4">
        <v>0.91</v>
      </c>
      <c r="E20" s="4">
        <v>3.08</v>
      </c>
      <c r="F20" s="4">
        <v>3.36</v>
      </c>
      <c r="G20" s="4">
        <v>7.05</v>
      </c>
      <c r="I20" s="4">
        <v>0</v>
      </c>
      <c r="J20" s="4">
        <v>-4.3384015985982417E-3</v>
      </c>
      <c r="K20" s="4">
        <v>2.2223136784710256E-2</v>
      </c>
      <c r="L20" s="4">
        <v>4.6520015634892907E-2</v>
      </c>
      <c r="M20" s="4">
        <v>0</v>
      </c>
      <c r="N20" s="4">
        <v>0</v>
      </c>
      <c r="P20" s="1" t="s">
        <v>5</v>
      </c>
      <c r="Q20" s="4">
        <v>3.9</v>
      </c>
      <c r="R20" s="23">
        <f t="shared" si="1"/>
        <v>25582.571442310626</v>
      </c>
      <c r="S20" s="22">
        <f t="shared" si="2"/>
        <v>99772.028625011444</v>
      </c>
      <c r="T20" s="33">
        <v>9.9772028625011444E-2</v>
      </c>
    </row>
    <row r="21" spans="1:23">
      <c r="A21" s="8">
        <v>39811</v>
      </c>
      <c r="B21" s="4">
        <v>7.3</v>
      </c>
      <c r="C21" s="4">
        <v>4.5</v>
      </c>
      <c r="D21" s="4">
        <v>0.91</v>
      </c>
      <c r="E21" s="4">
        <v>3.12</v>
      </c>
      <c r="F21" s="4">
        <v>3.24</v>
      </c>
      <c r="G21" s="4">
        <v>7.05</v>
      </c>
      <c r="I21" s="4">
        <v>1.3793322132335769E-2</v>
      </c>
      <c r="J21" s="4">
        <v>-2.1978906718775115E-2</v>
      </c>
      <c r="K21" s="4">
        <v>0</v>
      </c>
      <c r="L21" s="4">
        <v>1.2903404835908001E-2</v>
      </c>
      <c r="M21" s="4">
        <v>-3.6367644170874715E-2</v>
      </c>
      <c r="N21" s="4">
        <v>0</v>
      </c>
      <c r="P21" s="1" t="s">
        <v>6</v>
      </c>
      <c r="Q21" s="4">
        <v>10.7</v>
      </c>
      <c r="R21" s="23">
        <f t="shared" si="1"/>
        <v>26972.52781591683</v>
      </c>
      <c r="S21" s="22">
        <f t="shared" si="2"/>
        <v>288606.04763031006</v>
      </c>
      <c r="T21" s="33">
        <v>0.28860604763031006</v>
      </c>
      <c r="V21" s="18" t="s">
        <v>33</v>
      </c>
    </row>
    <row r="22" spans="1:23">
      <c r="A22" s="8">
        <v>39812</v>
      </c>
      <c r="B22" s="4">
        <v>7.05</v>
      </c>
      <c r="C22" s="4">
        <v>4.38</v>
      </c>
      <c r="D22" s="4">
        <v>0.91</v>
      </c>
      <c r="E22" s="4">
        <v>3.18</v>
      </c>
      <c r="F22" s="4">
        <v>3.16</v>
      </c>
      <c r="G22" s="4">
        <v>7.05</v>
      </c>
      <c r="I22" s="4">
        <v>-3.484673133016819E-2</v>
      </c>
      <c r="J22" s="4">
        <v>-2.7028672387919374E-2</v>
      </c>
      <c r="K22" s="4">
        <v>0</v>
      </c>
      <c r="L22" s="4">
        <v>1.9048194970694411E-2</v>
      </c>
      <c r="M22" s="4">
        <v>-2.500130220541727E-2</v>
      </c>
      <c r="N22" s="4">
        <v>0</v>
      </c>
      <c r="P22" s="1" t="s">
        <v>7</v>
      </c>
      <c r="Q22" s="4">
        <v>8.65</v>
      </c>
      <c r="R22" s="23">
        <f t="shared" si="1"/>
        <v>12035.620522636898</v>
      </c>
      <c r="S22" s="22">
        <f t="shared" si="2"/>
        <v>104108.11752080917</v>
      </c>
      <c r="T22" s="34">
        <v>0.10410811752080917</v>
      </c>
      <c r="V22" s="18" t="s">
        <v>34</v>
      </c>
    </row>
    <row r="23" spans="1:23">
      <c r="A23" s="8">
        <v>39818</v>
      </c>
      <c r="B23" s="4">
        <v>7.45</v>
      </c>
      <c r="C23" s="4">
        <v>4.66</v>
      </c>
      <c r="D23" s="4">
        <v>0.89</v>
      </c>
      <c r="E23" s="4">
        <v>3.22</v>
      </c>
      <c r="F23" s="4">
        <v>3.36</v>
      </c>
      <c r="G23" s="4">
        <v>7.4</v>
      </c>
      <c r="I23" s="4">
        <v>5.5186415567290939E-2</v>
      </c>
      <c r="J23" s="4">
        <v>6.1966723749199842E-2</v>
      </c>
      <c r="K23" s="4">
        <v>-2.2223136784710235E-2</v>
      </c>
      <c r="L23" s="4">
        <v>1.2500162764231468E-2</v>
      </c>
      <c r="M23" s="4">
        <v>6.1368946376292019E-2</v>
      </c>
      <c r="N23" s="4">
        <v>4.8452383385946957E-2</v>
      </c>
      <c r="P23" s="1" t="s">
        <v>8</v>
      </c>
      <c r="Q23" s="4">
        <v>21.9</v>
      </c>
      <c r="R23" s="23">
        <f t="shared" si="1"/>
        <v>11023.898783339759</v>
      </c>
      <c r="S23" s="22">
        <f t="shared" si="2"/>
        <v>241423.38335514069</v>
      </c>
      <c r="T23" s="34">
        <v>0.24142338335514069</v>
      </c>
    </row>
    <row r="24" spans="1:23">
      <c r="A24" s="8">
        <v>39819</v>
      </c>
      <c r="B24" s="4">
        <v>7.5</v>
      </c>
      <c r="C24" s="4">
        <v>4.5999999999999996</v>
      </c>
      <c r="D24" s="4">
        <v>0.89</v>
      </c>
      <c r="E24" s="4">
        <v>3.36</v>
      </c>
      <c r="F24" s="4">
        <v>3.26</v>
      </c>
      <c r="G24" s="4">
        <v>7.45</v>
      </c>
      <c r="I24" s="4">
        <v>6.6889881507964889E-3</v>
      </c>
      <c r="J24" s="4">
        <v>-1.2959144642505341E-2</v>
      </c>
      <c r="K24" s="4">
        <v>0</v>
      </c>
      <c r="L24" s="4">
        <v>4.2559614418795903E-2</v>
      </c>
      <c r="M24" s="4">
        <v>-3.0213778596496595E-2</v>
      </c>
      <c r="N24" s="4">
        <v>6.7340321813441194E-3</v>
      </c>
      <c r="P24" s="4"/>
      <c r="S24" s="21">
        <f>SUM(S18:S23)</f>
        <v>999999.98509883881</v>
      </c>
      <c r="T24" s="24">
        <f>SUM(T18:T23)</f>
        <v>0.99999998509883881</v>
      </c>
      <c r="V24" s="32" t="s">
        <v>40</v>
      </c>
      <c r="W24" s="15">
        <v>1.0468566417694092</v>
      </c>
    </row>
    <row r="25" spans="1:23">
      <c r="A25" s="8">
        <v>39820</v>
      </c>
      <c r="B25" s="4">
        <v>7.25</v>
      </c>
      <c r="C25" s="4">
        <v>4.5199999999999996</v>
      </c>
      <c r="D25" s="4">
        <v>0.87</v>
      </c>
      <c r="E25" s="4">
        <v>3.36</v>
      </c>
      <c r="F25" s="4">
        <v>3.2</v>
      </c>
      <c r="G25" s="4">
        <v>7.1</v>
      </c>
      <c r="I25" s="4">
        <v>-3.3901551675681339E-2</v>
      </c>
      <c r="J25" s="4">
        <v>-1.7544309650909508E-2</v>
      </c>
      <c r="K25" s="4">
        <v>-2.2728251077556175E-2</v>
      </c>
      <c r="L25" s="4">
        <v>0</v>
      </c>
      <c r="M25" s="4">
        <v>-1.8576385572935304E-2</v>
      </c>
      <c r="N25" s="4">
        <v>-4.8119248344198458E-2</v>
      </c>
      <c r="P25" s="4"/>
      <c r="V25" s="32" t="s">
        <v>38</v>
      </c>
      <c r="W25" s="15">
        <v>8.2852691411972046E-2</v>
      </c>
    </row>
    <row r="26" spans="1:23">
      <c r="A26" s="8">
        <v>39821</v>
      </c>
      <c r="B26" s="4">
        <v>7.15</v>
      </c>
      <c r="C26" s="4">
        <v>4.58</v>
      </c>
      <c r="D26" s="4">
        <v>0.93</v>
      </c>
      <c r="E26" s="4">
        <v>3.36</v>
      </c>
      <c r="F26" s="4">
        <v>3.28</v>
      </c>
      <c r="G26" s="4">
        <v>6.9</v>
      </c>
      <c r="I26" s="4">
        <v>-1.3889112160667037E-2</v>
      </c>
      <c r="J26" s="4">
        <v>1.31870042819539E-2</v>
      </c>
      <c r="K26" s="4">
        <v>6.6691374498672351E-2</v>
      </c>
      <c r="L26" s="4">
        <v>0</v>
      </c>
      <c r="M26" s="4">
        <v>2.4692612590371414E-2</v>
      </c>
      <c r="N26" s="4">
        <v>-2.8573372444055885E-2</v>
      </c>
      <c r="P26" s="25" t="s">
        <v>22</v>
      </c>
      <c r="Q26" s="17" t="s">
        <v>23</v>
      </c>
      <c r="V26" s="32" t="s">
        <v>39</v>
      </c>
      <c r="W26" s="15">
        <v>5.5263243615627289E-2</v>
      </c>
    </row>
    <row r="27" spans="1:23">
      <c r="A27" s="8">
        <v>39822</v>
      </c>
      <c r="B27" s="4">
        <v>7.15</v>
      </c>
      <c r="C27" s="4">
        <v>4.58</v>
      </c>
      <c r="D27" s="4">
        <v>0.89</v>
      </c>
      <c r="E27" s="4">
        <v>3.3</v>
      </c>
      <c r="F27" s="4">
        <v>3.18</v>
      </c>
      <c r="G27" s="4">
        <v>7.05</v>
      </c>
      <c r="I27" s="4">
        <v>0</v>
      </c>
      <c r="J27" s="4">
        <v>0</v>
      </c>
      <c r="K27" s="4">
        <v>-4.3963123421116176E-2</v>
      </c>
      <c r="L27" s="4">
        <v>-1.8018505502678365E-2</v>
      </c>
      <c r="M27" s="4">
        <v>-3.096222560396681E-2</v>
      </c>
      <c r="N27" s="4">
        <v>2.1506205220963463E-2</v>
      </c>
      <c r="P27" s="27">
        <v>1</v>
      </c>
      <c r="Q27" s="4">
        <v>59725.140625</v>
      </c>
      <c r="S27" s="14" t="s">
        <v>41</v>
      </c>
      <c r="T27" s="38">
        <v>-12762.672712402342</v>
      </c>
    </row>
    <row r="28" spans="1:23">
      <c r="A28" s="8">
        <v>39825</v>
      </c>
      <c r="B28" s="4">
        <v>7.15</v>
      </c>
      <c r="C28" s="4">
        <v>4.58</v>
      </c>
      <c r="D28" s="4">
        <v>0.9</v>
      </c>
      <c r="E28" s="4">
        <v>3.4</v>
      </c>
      <c r="F28" s="4">
        <v>3.28</v>
      </c>
      <c r="G28" s="4">
        <v>7.1</v>
      </c>
      <c r="I28" s="4">
        <v>0</v>
      </c>
      <c r="J28" s="4">
        <v>0</v>
      </c>
      <c r="K28" s="4">
        <v>1.1173300598125255E-2</v>
      </c>
      <c r="L28" s="4">
        <v>2.9852963149681128E-2</v>
      </c>
      <c r="M28" s="4">
        <v>3.096222560396689E-2</v>
      </c>
      <c r="N28" s="4">
        <v>7.0671672230923528E-3</v>
      </c>
      <c r="P28" s="27">
        <v>2</v>
      </c>
      <c r="Q28" s="4">
        <v>314420.125</v>
      </c>
      <c r="S28" s="14" t="s">
        <v>42</v>
      </c>
      <c r="T28" s="21">
        <v>117317.35147298177</v>
      </c>
    </row>
    <row r="29" spans="1:23">
      <c r="A29" s="8">
        <v>39826</v>
      </c>
      <c r="B29" s="4">
        <v>7.05</v>
      </c>
      <c r="C29" s="4">
        <v>4.5599999999999996</v>
      </c>
      <c r="D29" s="4">
        <v>0.87</v>
      </c>
      <c r="E29" s="4">
        <v>3.3</v>
      </c>
      <c r="F29" s="4">
        <v>3.22</v>
      </c>
      <c r="G29" s="4">
        <v>7.05</v>
      </c>
      <c r="I29" s="4">
        <v>-1.4084739881739085E-2</v>
      </c>
      <c r="J29" s="4">
        <v>-4.3763745997990001E-3</v>
      </c>
      <c r="K29" s="4">
        <v>-3.3901551675681339E-2</v>
      </c>
      <c r="L29" s="4">
        <v>-2.985296314968116E-2</v>
      </c>
      <c r="M29" s="4">
        <v>-1.8462062839735331E-2</v>
      </c>
      <c r="N29" s="4">
        <v>-7.067167223092443E-3</v>
      </c>
      <c r="P29" s="27">
        <v>3</v>
      </c>
      <c r="Q29" s="4">
        <v>120907.140625</v>
      </c>
      <c r="S29" s="14" t="s">
        <v>43</v>
      </c>
      <c r="T29" s="21">
        <v>17033.975405091442</v>
      </c>
    </row>
    <row r="30" spans="1:23">
      <c r="A30" s="8">
        <v>39827</v>
      </c>
      <c r="B30" s="4">
        <v>7</v>
      </c>
      <c r="C30" s="4">
        <v>4.4400000000000004</v>
      </c>
      <c r="D30" s="4">
        <v>0.88</v>
      </c>
      <c r="E30" s="4">
        <v>3.3</v>
      </c>
      <c r="F30" s="4">
        <v>3.12</v>
      </c>
      <c r="G30" s="4">
        <v>7</v>
      </c>
      <c r="I30" s="4">
        <v>-7.1174677688639896E-3</v>
      </c>
      <c r="J30" s="4">
        <v>-2.666824708216118E-2</v>
      </c>
      <c r="K30" s="4">
        <v>1.142869582362285E-2</v>
      </c>
      <c r="L30" s="4">
        <v>0</v>
      </c>
      <c r="M30" s="4">
        <v>-3.1548357734926008E-2</v>
      </c>
      <c r="N30" s="4">
        <v>-7.1174677688639896E-3</v>
      </c>
      <c r="P30" s="27">
        <v>4</v>
      </c>
      <c r="Q30" s="4">
        <v>216518.265625</v>
      </c>
    </row>
    <row r="31" spans="1:23">
      <c r="A31" s="8">
        <v>39828</v>
      </c>
      <c r="B31" s="4">
        <v>6.95</v>
      </c>
      <c r="C31" s="4">
        <v>4.26</v>
      </c>
      <c r="D31" s="4">
        <v>0.87</v>
      </c>
      <c r="E31" s="4">
        <v>3.24</v>
      </c>
      <c r="F31" s="4">
        <v>3</v>
      </c>
      <c r="G31" s="4">
        <v>7</v>
      </c>
      <c r="I31" s="4">
        <v>-7.168489478612516E-3</v>
      </c>
      <c r="J31" s="4">
        <v>-4.1385216162854482E-2</v>
      </c>
      <c r="K31" s="4">
        <v>-1.1428695823622744E-2</v>
      </c>
      <c r="L31" s="4">
        <v>-1.834913866819643E-2</v>
      </c>
      <c r="M31" s="4">
        <v>-3.9220713153281385E-2</v>
      </c>
      <c r="N31" s="4">
        <v>0</v>
      </c>
      <c r="P31" s="27">
        <v>5</v>
      </c>
      <c r="Q31" s="4">
        <v>110783.265625</v>
      </c>
    </row>
    <row r="32" spans="1:23">
      <c r="A32" s="8">
        <v>39829</v>
      </c>
      <c r="B32" s="4">
        <v>6.95</v>
      </c>
      <c r="C32" s="4">
        <v>4.4400000000000004</v>
      </c>
      <c r="D32" s="4">
        <v>0.87</v>
      </c>
      <c r="E32" s="4">
        <v>3.22</v>
      </c>
      <c r="F32" s="4">
        <v>3.06</v>
      </c>
      <c r="G32" s="4">
        <v>7.05</v>
      </c>
      <c r="I32" s="4">
        <v>0</v>
      </c>
      <c r="J32" s="4">
        <v>4.1385216162854489E-2</v>
      </c>
      <c r="K32" s="4">
        <v>0</v>
      </c>
      <c r="L32" s="4">
        <v>-6.191970247921107E-3</v>
      </c>
      <c r="M32" s="4">
        <v>1.980262729617973E-2</v>
      </c>
      <c r="N32" s="4">
        <v>7.1174677688639549E-3</v>
      </c>
      <c r="P32" s="27">
        <v>6</v>
      </c>
      <c r="Q32" s="4">
        <v>11254.7021484375</v>
      </c>
    </row>
    <row r="33" spans="1:17">
      <c r="A33" s="8">
        <v>39832</v>
      </c>
      <c r="B33" s="4">
        <v>6.9</v>
      </c>
      <c r="C33" s="4">
        <v>4.5</v>
      </c>
      <c r="D33" s="4">
        <v>0.87</v>
      </c>
      <c r="E33" s="4">
        <v>3.3</v>
      </c>
      <c r="F33" s="4">
        <v>3.1</v>
      </c>
      <c r="G33" s="4">
        <v>7.05</v>
      </c>
      <c r="I33" s="4">
        <v>-7.2202479734870201E-3</v>
      </c>
      <c r="J33" s="4">
        <v>1.342302033214055E-2</v>
      </c>
      <c r="K33" s="4">
        <v>0</v>
      </c>
      <c r="L33" s="4">
        <v>2.4541108916117445E-2</v>
      </c>
      <c r="M33" s="4">
        <v>1.2987195526811112E-2</v>
      </c>
      <c r="N33" s="4">
        <v>0</v>
      </c>
      <c r="P33" s="27">
        <v>7</v>
      </c>
      <c r="Q33" s="4">
        <v>126848.765625</v>
      </c>
    </row>
    <row r="34" spans="1:17">
      <c r="A34" s="8">
        <v>39833</v>
      </c>
      <c r="B34" s="4">
        <v>6.9</v>
      </c>
      <c r="C34" s="4">
        <v>4.38</v>
      </c>
      <c r="D34" s="4">
        <v>0.97</v>
      </c>
      <c r="E34" s="4">
        <v>3.26</v>
      </c>
      <c r="F34" s="4">
        <v>3.34</v>
      </c>
      <c r="G34" s="4">
        <v>7.1</v>
      </c>
      <c r="I34" s="4">
        <v>0</v>
      </c>
      <c r="J34" s="4">
        <v>-2.7028672387919374E-2</v>
      </c>
      <c r="K34" s="4">
        <v>0.10880285984879917</v>
      </c>
      <c r="L34" s="4">
        <v>-1.2195273093818243E-2</v>
      </c>
      <c r="M34" s="4">
        <v>7.4568695497508469E-2</v>
      </c>
      <c r="N34" s="4">
        <v>7.0671672230923528E-3</v>
      </c>
      <c r="P34" s="27">
        <v>8</v>
      </c>
      <c r="Q34" s="4">
        <v>352534.125</v>
      </c>
    </row>
    <row r="35" spans="1:17">
      <c r="A35" s="8">
        <v>39834</v>
      </c>
      <c r="B35" s="4">
        <v>6.8</v>
      </c>
      <c r="C35" s="4">
        <v>4.3600000000000003</v>
      </c>
      <c r="D35" s="4">
        <v>0.93</v>
      </c>
      <c r="E35" s="4">
        <v>3.28</v>
      </c>
      <c r="F35" s="4">
        <v>3.44</v>
      </c>
      <c r="G35" s="4">
        <v>7.15</v>
      </c>
      <c r="I35" s="4">
        <v>-1.4598799421152749E-2</v>
      </c>
      <c r="J35" s="4">
        <v>-4.5766670274117547E-3</v>
      </c>
      <c r="K35" s="4">
        <v>-4.2111485350126848E-2</v>
      </c>
      <c r="L35" s="4">
        <v>6.1162270174360536E-3</v>
      </c>
      <c r="M35" s="4">
        <v>2.9500664396698056E-2</v>
      </c>
      <c r="N35" s="4">
        <v>7.0175726586465398E-3</v>
      </c>
      <c r="P35" s="27">
        <v>9</v>
      </c>
      <c r="Q35" s="4">
        <v>-19192.171875</v>
      </c>
    </row>
    <row r="36" spans="1:17">
      <c r="A36" s="8">
        <v>39835</v>
      </c>
      <c r="B36" s="4">
        <v>6.65</v>
      </c>
      <c r="C36" s="4">
        <v>4.38</v>
      </c>
      <c r="D36" s="4">
        <v>0.9</v>
      </c>
      <c r="E36" s="4">
        <v>3.28</v>
      </c>
      <c r="F36" s="4">
        <v>3.26</v>
      </c>
      <c r="G36" s="4">
        <v>7.1</v>
      </c>
      <c r="I36" s="4">
        <v>-2.2305757514298162E-2</v>
      </c>
      <c r="J36" s="4">
        <v>4.5766670274116732E-3</v>
      </c>
      <c r="K36" s="4">
        <v>-3.2789822822990956E-2</v>
      </c>
      <c r="L36" s="4">
        <v>0</v>
      </c>
      <c r="M36" s="4">
        <v>-5.3744276006690808E-2</v>
      </c>
      <c r="N36" s="4">
        <v>-7.0175726586466465E-3</v>
      </c>
      <c r="P36" s="27">
        <v>10</v>
      </c>
      <c r="Q36" s="4">
        <v>197618.015625</v>
      </c>
    </row>
    <row r="37" spans="1:17">
      <c r="A37" s="8">
        <v>39836</v>
      </c>
      <c r="B37" s="4">
        <v>6.6</v>
      </c>
      <c r="C37" s="4">
        <v>4.34</v>
      </c>
      <c r="D37" s="4">
        <v>0.88</v>
      </c>
      <c r="E37" s="4">
        <v>3.24</v>
      </c>
      <c r="F37" s="4">
        <v>3.18</v>
      </c>
      <c r="G37" s="4">
        <v>7.05</v>
      </c>
      <c r="I37" s="4">
        <v>-7.5472056353829663E-3</v>
      </c>
      <c r="J37" s="4">
        <v>-9.1743762760412694E-3</v>
      </c>
      <c r="K37" s="4">
        <v>-2.2472855852058628E-2</v>
      </c>
      <c r="L37" s="4">
        <v>-1.2270092591814247E-2</v>
      </c>
      <c r="M37" s="4">
        <v>-2.4845998586530662E-2</v>
      </c>
      <c r="N37" s="4">
        <v>-7.067167223092443E-3</v>
      </c>
      <c r="P37" s="28">
        <v>11</v>
      </c>
      <c r="Q37" s="4">
        <v>33659.578125</v>
      </c>
    </row>
    <row r="38" spans="1:17">
      <c r="A38" s="8">
        <v>39839</v>
      </c>
      <c r="B38" s="4">
        <v>6.7</v>
      </c>
      <c r="C38" s="4">
        <v>4.3600000000000003</v>
      </c>
      <c r="D38" s="4">
        <v>0.9</v>
      </c>
      <c r="E38" s="4">
        <v>3.24</v>
      </c>
      <c r="F38" s="4">
        <v>3.22</v>
      </c>
      <c r="G38" s="4">
        <v>7.1</v>
      </c>
      <c r="I38" s="4">
        <v>1.5037877364540502E-2</v>
      </c>
      <c r="J38" s="4">
        <v>4.5977092486295494E-3</v>
      </c>
      <c r="K38" s="4">
        <v>2.2472855852058576E-2</v>
      </c>
      <c r="L38" s="4">
        <v>0</v>
      </c>
      <c r="M38" s="4">
        <v>1.2500162764231468E-2</v>
      </c>
      <c r="N38" s="4">
        <v>7.0671672230923528E-3</v>
      </c>
      <c r="P38" s="28">
        <v>12</v>
      </c>
      <c r="Q38" s="4">
        <v>99558.390625</v>
      </c>
    </row>
    <row r="39" spans="1:17">
      <c r="A39" s="8">
        <v>39840</v>
      </c>
      <c r="B39" s="4">
        <v>6.85</v>
      </c>
      <c r="C39" s="4">
        <v>4.42</v>
      </c>
      <c r="D39" s="4">
        <v>0.92</v>
      </c>
      <c r="E39" s="4">
        <v>3.3</v>
      </c>
      <c r="F39" s="4">
        <v>3.26</v>
      </c>
      <c r="G39" s="4">
        <v>7.25</v>
      </c>
      <c r="I39" s="4">
        <v>2.2141125877213501E-2</v>
      </c>
      <c r="J39" s="4">
        <v>1.3667638728663615E-2</v>
      </c>
      <c r="K39" s="4">
        <v>2.1978906718775167E-2</v>
      </c>
      <c r="L39" s="4">
        <v>1.8349138668196398E-2</v>
      </c>
      <c r="M39" s="4">
        <v>1.2345835822299141E-2</v>
      </c>
      <c r="N39" s="4">
        <v>2.0906684819313643E-2</v>
      </c>
      <c r="P39" s="28">
        <v>13</v>
      </c>
      <c r="Q39" s="4">
        <v>84717.640625</v>
      </c>
    </row>
    <row r="40" spans="1:17">
      <c r="A40" s="8">
        <v>39841</v>
      </c>
      <c r="B40" s="4">
        <v>7</v>
      </c>
      <c r="C40" s="4">
        <v>4.5</v>
      </c>
      <c r="D40" s="4">
        <v>0.93</v>
      </c>
      <c r="E40" s="4">
        <v>3.34</v>
      </c>
      <c r="F40" s="4">
        <v>3.22</v>
      </c>
      <c r="G40" s="4">
        <v>7.2</v>
      </c>
      <c r="I40" s="4">
        <v>2.1661496781179467E-2</v>
      </c>
      <c r="J40" s="4">
        <v>1.7937700686667252E-2</v>
      </c>
      <c r="K40" s="4">
        <v>1.0810916104215676E-2</v>
      </c>
      <c r="L40" s="4">
        <v>1.2048338516174574E-2</v>
      </c>
      <c r="M40" s="4">
        <v>-1.2345835822299266E-2</v>
      </c>
      <c r="N40" s="4">
        <v>-6.9204428445737952E-3</v>
      </c>
      <c r="P40" s="28">
        <v>14</v>
      </c>
      <c r="Q40" s="4">
        <v>2978.514892578125</v>
      </c>
    </row>
    <row r="41" spans="1:17">
      <c r="A41" s="8">
        <v>39842</v>
      </c>
      <c r="B41" s="4">
        <v>6.8</v>
      </c>
      <c r="C41" s="4">
        <v>4.26</v>
      </c>
      <c r="D41" s="4">
        <v>0.93</v>
      </c>
      <c r="E41" s="4">
        <v>3.32</v>
      </c>
      <c r="F41" s="4">
        <v>3.06</v>
      </c>
      <c r="G41" s="4">
        <v>7.25</v>
      </c>
      <c r="I41" s="4">
        <v>-2.8987536873252298E-2</v>
      </c>
      <c r="J41" s="4">
        <v>-5.4808236494995027E-2</v>
      </c>
      <c r="K41" s="4">
        <v>0</v>
      </c>
      <c r="L41" s="4">
        <v>-6.0060240602119218E-3</v>
      </c>
      <c r="M41" s="4">
        <v>-5.0966443592027628E-2</v>
      </c>
      <c r="N41" s="4">
        <v>6.920442844573757E-3</v>
      </c>
      <c r="P41" s="28">
        <v>15</v>
      </c>
      <c r="Q41" s="4">
        <v>281009.875</v>
      </c>
    </row>
    <row r="42" spans="1:17">
      <c r="A42" s="8">
        <v>39843</v>
      </c>
      <c r="B42" s="4">
        <v>6.95</v>
      </c>
      <c r="C42" s="4">
        <v>4.28</v>
      </c>
      <c r="D42" s="4">
        <v>0.91</v>
      </c>
      <c r="E42" s="4">
        <v>3.3</v>
      </c>
      <c r="F42" s="4">
        <v>3.1</v>
      </c>
      <c r="G42" s="4">
        <v>7.45</v>
      </c>
      <c r="I42" s="4">
        <v>2.1819047394639888E-2</v>
      </c>
      <c r="J42" s="4">
        <v>4.6838493124264375E-3</v>
      </c>
      <c r="K42" s="4">
        <v>-2.1739986636405875E-2</v>
      </c>
      <c r="L42" s="4">
        <v>-6.0423144559625863E-3</v>
      </c>
      <c r="M42" s="4">
        <v>1.2987195526811112E-2</v>
      </c>
      <c r="N42" s="4">
        <v>2.7212563524884794E-2</v>
      </c>
      <c r="P42" s="28">
        <v>16</v>
      </c>
      <c r="Q42" s="4">
        <v>184247.765625</v>
      </c>
    </row>
    <row r="43" spans="1:17">
      <c r="A43" s="8">
        <v>39846</v>
      </c>
      <c r="B43" s="4">
        <v>6.7</v>
      </c>
      <c r="C43" s="4">
        <v>4</v>
      </c>
      <c r="D43" s="4">
        <v>0.89</v>
      </c>
      <c r="E43" s="4">
        <v>3.32</v>
      </c>
      <c r="F43" s="4">
        <v>3.02</v>
      </c>
      <c r="G43" s="4">
        <v>7.35</v>
      </c>
      <c r="I43" s="4">
        <v>-3.6634133179780384E-2</v>
      </c>
      <c r="J43" s="4">
        <v>-6.7658648473814809E-2</v>
      </c>
      <c r="K43" s="4">
        <v>-2.2223136784710235E-2</v>
      </c>
      <c r="L43" s="4">
        <v>6.0423144559626617E-3</v>
      </c>
      <c r="M43" s="4">
        <v>-2.614528010432236E-2</v>
      </c>
      <c r="N43" s="4">
        <v>-1.3513719166722933E-2</v>
      </c>
      <c r="P43" s="28">
        <v>17</v>
      </c>
      <c r="Q43" s="4">
        <v>30215.890625</v>
      </c>
    </row>
    <row r="44" spans="1:17">
      <c r="A44" s="8">
        <v>39847</v>
      </c>
      <c r="B44" s="4">
        <v>6.9</v>
      </c>
      <c r="C44" s="4">
        <v>3.86</v>
      </c>
      <c r="D44" s="4">
        <v>0.89</v>
      </c>
      <c r="E44" s="4">
        <v>3.34</v>
      </c>
      <c r="F44" s="4">
        <v>3.06</v>
      </c>
      <c r="G44" s="4">
        <v>7.45</v>
      </c>
      <c r="I44" s="4">
        <v>2.9413885206293407E-2</v>
      </c>
      <c r="J44" s="4">
        <v>-3.562717764315116E-2</v>
      </c>
      <c r="K44" s="4">
        <v>0</v>
      </c>
      <c r="L44" s="4">
        <v>6.0060240602119487E-3</v>
      </c>
      <c r="M44" s="4">
        <v>1.3158084577511201E-2</v>
      </c>
      <c r="N44" s="4">
        <v>1.3513719166722855E-2</v>
      </c>
      <c r="P44" s="28">
        <v>18</v>
      </c>
      <c r="Q44" s="4">
        <v>173717.515625</v>
      </c>
    </row>
    <row r="45" spans="1:17">
      <c r="A45" s="8">
        <v>39848</v>
      </c>
      <c r="B45" s="4">
        <v>6.85</v>
      </c>
      <c r="C45" s="4">
        <v>3.96</v>
      </c>
      <c r="D45" s="4">
        <v>0.91</v>
      </c>
      <c r="E45" s="4">
        <v>3.34</v>
      </c>
      <c r="F45" s="4">
        <v>3.08</v>
      </c>
      <c r="G45" s="4">
        <v>7.7</v>
      </c>
      <c r="I45" s="4">
        <v>-7.2727593290799206E-3</v>
      </c>
      <c r="J45" s="4">
        <v>2.5576841789649776E-2</v>
      </c>
      <c r="K45" s="4">
        <v>2.2223136784710256E-2</v>
      </c>
      <c r="L45" s="4">
        <v>0</v>
      </c>
      <c r="M45" s="4">
        <v>6.5146810211936723E-3</v>
      </c>
      <c r="N45" s="4">
        <v>3.3006296468170077E-2</v>
      </c>
      <c r="P45" s="28">
        <v>19</v>
      </c>
      <c r="Q45" s="4">
        <v>113063.390625</v>
      </c>
    </row>
    <row r="46" spans="1:17">
      <c r="A46" s="8">
        <v>39849</v>
      </c>
      <c r="B46" s="4">
        <v>6.9</v>
      </c>
      <c r="C46" s="4">
        <v>4</v>
      </c>
      <c r="D46" s="4">
        <v>0.91</v>
      </c>
      <c r="E46" s="4">
        <v>3.34</v>
      </c>
      <c r="F46" s="4">
        <v>3.12</v>
      </c>
      <c r="G46" s="4">
        <v>7.75</v>
      </c>
      <c r="I46" s="4">
        <v>7.2727593290798781E-3</v>
      </c>
      <c r="J46" s="4">
        <v>1.0050335853501506E-2</v>
      </c>
      <c r="K46" s="4">
        <v>0</v>
      </c>
      <c r="L46" s="4">
        <v>0</v>
      </c>
      <c r="M46" s="4">
        <v>1.2903404835908001E-2</v>
      </c>
      <c r="N46" s="4">
        <v>6.4725145056175196E-3</v>
      </c>
      <c r="P46" s="28">
        <v>20</v>
      </c>
      <c r="Q46" s="4">
        <v>11541.7646484375</v>
      </c>
    </row>
    <row r="47" spans="1:17">
      <c r="A47" s="8">
        <v>39850</v>
      </c>
      <c r="B47" s="4">
        <v>7</v>
      </c>
      <c r="C47" s="4">
        <v>4.0999999999999996</v>
      </c>
      <c r="D47" s="4">
        <v>0.9</v>
      </c>
      <c r="E47" s="4">
        <v>3.38</v>
      </c>
      <c r="F47" s="4">
        <v>3.18</v>
      </c>
      <c r="G47" s="4">
        <v>7.8</v>
      </c>
      <c r="I47" s="4">
        <v>1.4388737452099452E-2</v>
      </c>
      <c r="J47" s="4">
        <v>2.4692612590371414E-2</v>
      </c>
      <c r="K47" s="4">
        <v>-1.1049836186584935E-2</v>
      </c>
      <c r="L47" s="4">
        <v>1.1904902506318458E-2</v>
      </c>
      <c r="M47" s="4">
        <v>1.9048194970694411E-2</v>
      </c>
      <c r="N47" s="4">
        <v>6.4308903302903314E-3</v>
      </c>
      <c r="P47" s="28">
        <v>21</v>
      </c>
      <c r="Q47" s="4">
        <v>69536.265625</v>
      </c>
    </row>
    <row r="48" spans="1:17">
      <c r="A48" s="8">
        <v>39854</v>
      </c>
      <c r="B48" s="4">
        <v>7.05</v>
      </c>
      <c r="C48" s="4">
        <v>4.04</v>
      </c>
      <c r="D48" s="4">
        <v>0.88</v>
      </c>
      <c r="E48" s="4">
        <v>3.4</v>
      </c>
      <c r="F48" s="4">
        <v>3.1</v>
      </c>
      <c r="G48" s="4">
        <v>7.85</v>
      </c>
      <c r="I48" s="4">
        <v>7.1174677688639549E-3</v>
      </c>
      <c r="J48" s="4">
        <v>-1.4742281737203319E-2</v>
      </c>
      <c r="K48" s="4">
        <v>-2.2472855852058628E-2</v>
      </c>
      <c r="L48" s="4">
        <v>5.899722127188322E-3</v>
      </c>
      <c r="M48" s="4">
        <v>-2.5479085300984899E-2</v>
      </c>
      <c r="N48" s="4">
        <v>6.3897980987709883E-3</v>
      </c>
      <c r="P48" s="28">
        <v>22</v>
      </c>
      <c r="Q48" s="4">
        <v>29433.453125</v>
      </c>
    </row>
    <row r="49" spans="1:17">
      <c r="A49" s="8">
        <v>39855</v>
      </c>
      <c r="B49" s="4">
        <v>7</v>
      </c>
      <c r="C49" s="4">
        <v>4.0199999999999996</v>
      </c>
      <c r="D49" s="4">
        <v>0.84</v>
      </c>
      <c r="E49" s="4">
        <v>3.38</v>
      </c>
      <c r="F49" s="4">
        <v>3.1</v>
      </c>
      <c r="G49" s="4">
        <v>7.7</v>
      </c>
      <c r="I49" s="4">
        <v>-7.1174677688639896E-3</v>
      </c>
      <c r="J49" s="4">
        <v>-4.9627893421291249E-3</v>
      </c>
      <c r="K49" s="4">
        <v>-4.6520015634892928E-2</v>
      </c>
      <c r="L49" s="4">
        <v>-5.8997221271882708E-3</v>
      </c>
      <c r="M49" s="4">
        <v>0</v>
      </c>
      <c r="N49" s="4">
        <v>-1.9293202934678781E-2</v>
      </c>
      <c r="P49" s="28">
        <v>23</v>
      </c>
      <c r="Q49" s="4">
        <v>63531.890625</v>
      </c>
    </row>
    <row r="50" spans="1:17">
      <c r="A50" s="8">
        <v>39856</v>
      </c>
      <c r="B50" s="4">
        <v>7.1</v>
      </c>
      <c r="C50" s="4">
        <v>3.98</v>
      </c>
      <c r="D50" s="4">
        <v>0.86</v>
      </c>
      <c r="E50" s="4">
        <v>3.38</v>
      </c>
      <c r="F50" s="4">
        <v>3.14</v>
      </c>
      <c r="G50" s="4">
        <v>7.6</v>
      </c>
      <c r="I50" s="4">
        <v>1.4184634991956381E-2</v>
      </c>
      <c r="J50" s="4">
        <v>-1.0000083334583311E-2</v>
      </c>
      <c r="K50" s="4">
        <v>2.3530497410194036E-2</v>
      </c>
      <c r="L50" s="4">
        <v>0</v>
      </c>
      <c r="M50" s="4">
        <v>1.2820688429061469E-2</v>
      </c>
      <c r="N50" s="4">
        <v>-1.3072081567352888E-2</v>
      </c>
      <c r="P50" s="28">
        <v>24</v>
      </c>
      <c r="Q50" s="4">
        <v>185360.765625</v>
      </c>
    </row>
    <row r="51" spans="1:17">
      <c r="A51" s="8">
        <v>39857</v>
      </c>
      <c r="B51" s="4">
        <v>7.15</v>
      </c>
      <c r="C51" s="4">
        <v>4</v>
      </c>
      <c r="D51" s="4">
        <v>0.83</v>
      </c>
      <c r="E51" s="4">
        <v>3.4</v>
      </c>
      <c r="F51" s="4">
        <v>3.12</v>
      </c>
      <c r="G51" s="4">
        <v>7.8</v>
      </c>
      <c r="I51" s="4">
        <v>7.0175726586465398E-3</v>
      </c>
      <c r="J51" s="4">
        <v>5.0125418235441935E-3</v>
      </c>
      <c r="K51" s="4">
        <v>-3.5506688456909873E-2</v>
      </c>
      <c r="L51" s="4">
        <v>5.899722127188322E-3</v>
      </c>
      <c r="M51" s="4">
        <v>-6.38979809877101E-3</v>
      </c>
      <c r="N51" s="4">
        <v>2.5975486403260736E-2</v>
      </c>
      <c r="P51" s="28">
        <v>25</v>
      </c>
      <c r="Q51" s="4">
        <v>205030.515625</v>
      </c>
    </row>
    <row r="52" spans="1:17">
      <c r="A52" s="8">
        <v>39860</v>
      </c>
      <c r="B52" s="4">
        <v>7.25</v>
      </c>
      <c r="C52" s="4">
        <v>3.96</v>
      </c>
      <c r="D52" s="4">
        <v>0.83</v>
      </c>
      <c r="E52" s="4">
        <v>3.42</v>
      </c>
      <c r="F52" s="4">
        <v>3.1</v>
      </c>
      <c r="G52" s="4">
        <v>8</v>
      </c>
      <c r="I52" s="4">
        <v>1.3889112160667093E-2</v>
      </c>
      <c r="J52" s="4">
        <v>-1.0050335853501451E-2</v>
      </c>
      <c r="K52" s="4">
        <v>0</v>
      </c>
      <c r="L52" s="4">
        <v>5.8651194523980576E-3</v>
      </c>
      <c r="M52" s="4">
        <v>-6.4308903302904025E-3</v>
      </c>
      <c r="N52" s="4">
        <v>2.5317807984290001E-2</v>
      </c>
      <c r="P52" s="28">
        <v>26</v>
      </c>
      <c r="Q52" s="4">
        <v>155800.890625</v>
      </c>
    </row>
    <row r="53" spans="1:17">
      <c r="A53" s="8">
        <v>39861</v>
      </c>
      <c r="B53" s="4">
        <v>7.05</v>
      </c>
      <c r="C53" s="4">
        <v>3.88</v>
      </c>
      <c r="D53" s="4">
        <v>0.82</v>
      </c>
      <c r="E53" s="4">
        <v>3.42</v>
      </c>
      <c r="F53" s="4">
        <v>3.08</v>
      </c>
      <c r="G53" s="4">
        <v>7.75</v>
      </c>
      <c r="I53" s="4">
        <v>-2.797385204240618E-2</v>
      </c>
      <c r="J53" s="4">
        <v>-2.0408871631207123E-2</v>
      </c>
      <c r="K53" s="4">
        <v>-1.212136053234485E-2</v>
      </c>
      <c r="L53" s="4">
        <v>0</v>
      </c>
      <c r="M53" s="4">
        <v>-6.4725145056174788E-3</v>
      </c>
      <c r="N53" s="4">
        <v>-3.1748698314580298E-2</v>
      </c>
      <c r="P53" s="28">
        <v>27</v>
      </c>
      <c r="Q53" s="4">
        <v>84123.640625</v>
      </c>
    </row>
    <row r="54" spans="1:17">
      <c r="A54" s="8">
        <v>39862</v>
      </c>
      <c r="B54" s="4">
        <v>7.1</v>
      </c>
      <c r="C54" s="4">
        <v>3.84</v>
      </c>
      <c r="D54" s="4">
        <v>0.84</v>
      </c>
      <c r="E54" s="4">
        <v>3.42</v>
      </c>
      <c r="F54" s="4">
        <v>3.06</v>
      </c>
      <c r="G54" s="4">
        <v>8</v>
      </c>
      <c r="I54" s="4">
        <v>7.0671672230923528E-3</v>
      </c>
      <c r="J54" s="4">
        <v>-1.0362787035546547E-2</v>
      </c>
      <c r="K54" s="4">
        <v>2.4097551579060524E-2</v>
      </c>
      <c r="L54" s="4">
        <v>0</v>
      </c>
      <c r="M54" s="4">
        <v>-6.5146810211937538E-3</v>
      </c>
      <c r="N54" s="4">
        <v>3.174869831458027E-2</v>
      </c>
      <c r="P54" s="28">
        <v>28</v>
      </c>
      <c r="Q54" s="4">
        <v>78820.015625</v>
      </c>
    </row>
    <row r="55" spans="1:17">
      <c r="A55" s="8">
        <v>39863</v>
      </c>
      <c r="B55" s="4">
        <v>7.1</v>
      </c>
      <c r="C55" s="4">
        <v>3.92</v>
      </c>
      <c r="D55" s="4">
        <v>0.82</v>
      </c>
      <c r="E55" s="4">
        <v>3.48</v>
      </c>
      <c r="F55" s="4">
        <v>3.06</v>
      </c>
      <c r="G55" s="4">
        <v>7.95</v>
      </c>
      <c r="I55" s="4">
        <v>0</v>
      </c>
      <c r="J55" s="4">
        <v>2.061928720273561E-2</v>
      </c>
      <c r="K55" s="4">
        <v>-2.409755157906053E-2</v>
      </c>
      <c r="L55" s="4">
        <v>1.7391742711869239E-2</v>
      </c>
      <c r="M55" s="4">
        <v>0</v>
      </c>
      <c r="N55" s="4">
        <v>-6.2696130135953742E-3</v>
      </c>
      <c r="P55" s="28">
        <v>29</v>
      </c>
      <c r="Q55" s="4">
        <v>58174.515625</v>
      </c>
    </row>
    <row r="56" spans="1:17">
      <c r="A56" s="8">
        <v>39864</v>
      </c>
      <c r="B56" s="4">
        <v>7.15</v>
      </c>
      <c r="C56" s="4">
        <v>3.86</v>
      </c>
      <c r="D56" s="4">
        <v>0.81</v>
      </c>
      <c r="E56" s="4">
        <v>3.48</v>
      </c>
      <c r="F56" s="4">
        <v>2.96</v>
      </c>
      <c r="G56" s="4">
        <v>7.85</v>
      </c>
      <c r="I56" s="4">
        <v>7.0175726586465398E-3</v>
      </c>
      <c r="J56" s="4">
        <v>-1.5424470325631639E-2</v>
      </c>
      <c r="K56" s="4">
        <v>-1.2270092591814247E-2</v>
      </c>
      <c r="L56" s="4">
        <v>0</v>
      </c>
      <c r="M56" s="4">
        <v>-3.3225647628320393E-2</v>
      </c>
      <c r="N56" s="4">
        <v>-1.2658396871923577E-2</v>
      </c>
      <c r="P56" s="28">
        <v>30</v>
      </c>
      <c r="Q56" s="4">
        <v>83580.890625</v>
      </c>
    </row>
    <row r="57" spans="1:17">
      <c r="A57" s="8">
        <v>39867</v>
      </c>
      <c r="B57" s="4">
        <v>7.15</v>
      </c>
      <c r="C57" s="4">
        <v>3.92</v>
      </c>
      <c r="D57" s="4">
        <v>0.8</v>
      </c>
      <c r="E57" s="4">
        <v>3.44</v>
      </c>
      <c r="F57" s="4">
        <v>2.96</v>
      </c>
      <c r="G57" s="4">
        <v>7.9</v>
      </c>
      <c r="I57" s="4">
        <v>0</v>
      </c>
      <c r="J57" s="4">
        <v>1.5424470325631731E-2</v>
      </c>
      <c r="K57" s="4">
        <v>-1.2422519998557209E-2</v>
      </c>
      <c r="L57" s="4">
        <v>-1.1560822401075971E-2</v>
      </c>
      <c r="M57" s="4">
        <v>0</v>
      </c>
      <c r="N57" s="4">
        <v>6.3492276786587445E-3</v>
      </c>
    </row>
    <row r="58" spans="1:17">
      <c r="A58" s="8">
        <v>39868</v>
      </c>
      <c r="B58" s="4">
        <v>7</v>
      </c>
      <c r="C58" s="4">
        <v>3.9</v>
      </c>
      <c r="D58" s="4">
        <v>0.79</v>
      </c>
      <c r="E58" s="4">
        <v>3.44</v>
      </c>
      <c r="F58" s="4">
        <v>2.94</v>
      </c>
      <c r="G58" s="4">
        <v>7.85</v>
      </c>
      <c r="I58" s="4">
        <v>-2.1202207650603051E-2</v>
      </c>
      <c r="J58" s="4">
        <v>-5.1151006667703768E-3</v>
      </c>
      <c r="K58" s="4">
        <v>-1.2578782206860073E-2</v>
      </c>
      <c r="L58" s="4">
        <v>0</v>
      </c>
      <c r="M58" s="4">
        <v>-6.7796869853788038E-3</v>
      </c>
      <c r="N58" s="4">
        <v>-6.3492276786588919E-3</v>
      </c>
    </row>
    <row r="59" spans="1:17">
      <c r="A59" s="8">
        <v>39869</v>
      </c>
      <c r="B59" s="4">
        <v>7.1</v>
      </c>
      <c r="C59" s="4">
        <v>3.92</v>
      </c>
      <c r="D59" s="4">
        <v>0.79</v>
      </c>
      <c r="E59" s="4">
        <v>3.38</v>
      </c>
      <c r="F59" s="4">
        <v>2.94</v>
      </c>
      <c r="G59" s="4">
        <v>8</v>
      </c>
      <c r="I59" s="4">
        <v>1.4184634991956381E-2</v>
      </c>
      <c r="J59" s="4">
        <v>5.1151006667704089E-3</v>
      </c>
      <c r="K59" s="4">
        <v>0</v>
      </c>
      <c r="L59" s="4">
        <v>-1.7595761890379601E-2</v>
      </c>
      <c r="M59" s="4">
        <v>0</v>
      </c>
      <c r="N59" s="4">
        <v>1.8928009885518859E-2</v>
      </c>
    </row>
    <row r="60" spans="1:17">
      <c r="A60" s="8">
        <v>39870</v>
      </c>
      <c r="B60" s="4">
        <v>7.35</v>
      </c>
      <c r="C60" s="4">
        <v>3.94</v>
      </c>
      <c r="D60" s="4">
        <v>0.78</v>
      </c>
      <c r="E60" s="4">
        <v>3.4</v>
      </c>
      <c r="F60" s="4">
        <v>2.94</v>
      </c>
      <c r="G60" s="4">
        <v>8.0500000000000007</v>
      </c>
      <c r="I60" s="4">
        <v>3.4605529177475523E-2</v>
      </c>
      <c r="J60" s="4">
        <v>5.0890695074712281E-3</v>
      </c>
      <c r="K60" s="4">
        <v>-1.2739025777429714E-2</v>
      </c>
      <c r="L60" s="4">
        <v>5.899722127188322E-3</v>
      </c>
      <c r="M60" s="4">
        <v>0</v>
      </c>
      <c r="N60" s="4">
        <v>6.2305497506361628E-3</v>
      </c>
    </row>
    <row r="61" spans="1:17">
      <c r="A61" s="8">
        <v>39871</v>
      </c>
      <c r="B61" s="4">
        <v>7.5</v>
      </c>
      <c r="C61" s="4">
        <v>3.94</v>
      </c>
      <c r="D61" s="4">
        <v>0.79</v>
      </c>
      <c r="E61" s="4">
        <v>3.38</v>
      </c>
      <c r="F61" s="4">
        <v>2.88</v>
      </c>
      <c r="G61" s="4">
        <v>8.0500000000000007</v>
      </c>
      <c r="I61" s="4">
        <v>2.0202707317519469E-2</v>
      </c>
      <c r="J61" s="4">
        <v>0</v>
      </c>
      <c r="K61" s="4">
        <v>1.2739025777429712E-2</v>
      </c>
      <c r="L61" s="4">
        <v>-5.8997221271882708E-3</v>
      </c>
      <c r="M61" s="4">
        <v>-2.0619287202735703E-2</v>
      </c>
      <c r="N61" s="4">
        <v>0</v>
      </c>
    </row>
    <row r="62" spans="1:17">
      <c r="A62" s="8">
        <v>39874</v>
      </c>
      <c r="B62" s="4">
        <v>7.2</v>
      </c>
      <c r="C62" s="4">
        <v>3.84</v>
      </c>
      <c r="D62" s="4">
        <v>0.78</v>
      </c>
      <c r="E62" s="4">
        <v>3.28</v>
      </c>
      <c r="F62" s="4">
        <v>2.66</v>
      </c>
      <c r="G62" s="4">
        <v>7.9</v>
      </c>
      <c r="I62" s="4">
        <v>-4.0821994520255048E-2</v>
      </c>
      <c r="J62" s="4">
        <v>-2.5708356710207037E-2</v>
      </c>
      <c r="K62" s="4">
        <v>-1.2739025777429714E-2</v>
      </c>
      <c r="L62" s="4">
        <v>-3.003228709887509E-2</v>
      </c>
      <c r="M62" s="4">
        <v>-7.9464171354246799E-2</v>
      </c>
      <c r="N62" s="4">
        <v>-1.8809331957496227E-2</v>
      </c>
    </row>
    <row r="63" spans="1:17">
      <c r="A63" s="8">
        <v>39875</v>
      </c>
      <c r="B63" s="4">
        <v>7.2</v>
      </c>
      <c r="C63" s="4">
        <v>3.86</v>
      </c>
      <c r="D63" s="4">
        <v>0.77</v>
      </c>
      <c r="E63" s="4">
        <v>3.24</v>
      </c>
      <c r="F63" s="4">
        <v>2.62</v>
      </c>
      <c r="G63" s="4">
        <v>7.9</v>
      </c>
      <c r="I63" s="4">
        <v>0</v>
      </c>
      <c r="J63" s="4">
        <v>5.19481687710393E-3</v>
      </c>
      <c r="K63" s="4">
        <v>-1.2903404835907954E-2</v>
      </c>
      <c r="L63" s="4">
        <v>-1.2270092591814247E-2</v>
      </c>
      <c r="M63" s="4">
        <v>-1.515180502060222E-2</v>
      </c>
      <c r="N63" s="4">
        <v>0</v>
      </c>
    </row>
    <row r="64" spans="1:17">
      <c r="A64" s="8">
        <v>39876</v>
      </c>
      <c r="B64" s="4">
        <v>7.4</v>
      </c>
      <c r="C64" s="4">
        <v>3.92</v>
      </c>
      <c r="D64" s="4">
        <v>0.79</v>
      </c>
      <c r="E64" s="4">
        <v>3.32</v>
      </c>
      <c r="F64" s="4">
        <v>2.62</v>
      </c>
      <c r="G64" s="4">
        <v>7.85</v>
      </c>
      <c r="I64" s="4">
        <v>2.7398974188114562E-2</v>
      </c>
      <c r="J64" s="4">
        <v>1.5424470325631731E-2</v>
      </c>
      <c r="K64" s="4">
        <v>2.5642430613337652E-2</v>
      </c>
      <c r="L64" s="4">
        <v>2.4391453124159048E-2</v>
      </c>
      <c r="M64" s="4">
        <v>0</v>
      </c>
      <c r="N64" s="4">
        <v>-6.3492276786588919E-3</v>
      </c>
    </row>
    <row r="65" spans="1:14">
      <c r="A65" s="8">
        <v>39877</v>
      </c>
      <c r="B65" s="4">
        <v>7.3</v>
      </c>
      <c r="C65" s="4">
        <v>3.94</v>
      </c>
      <c r="D65" s="4">
        <v>0.79</v>
      </c>
      <c r="E65" s="4">
        <v>3.32</v>
      </c>
      <c r="F65" s="4">
        <v>2.6</v>
      </c>
      <c r="G65" s="4">
        <v>7.85</v>
      </c>
      <c r="I65" s="4">
        <v>-1.3605652055778709E-2</v>
      </c>
      <c r="J65" s="4">
        <v>5.0890695074712281E-3</v>
      </c>
      <c r="K65" s="4">
        <v>0</v>
      </c>
      <c r="L65" s="4">
        <v>0</v>
      </c>
      <c r="M65" s="4">
        <v>-7.6628727455691371E-3</v>
      </c>
      <c r="N65" s="4">
        <v>0</v>
      </c>
    </row>
    <row r="66" spans="1:14">
      <c r="A66" s="8">
        <v>39878</v>
      </c>
      <c r="B66" s="4">
        <v>7.25</v>
      </c>
      <c r="C66" s="4">
        <v>3.96</v>
      </c>
      <c r="D66" s="4">
        <v>0.8</v>
      </c>
      <c r="E66" s="4">
        <v>3.38</v>
      </c>
      <c r="F66" s="4">
        <v>2.66</v>
      </c>
      <c r="G66" s="4">
        <v>7.85</v>
      </c>
      <c r="I66" s="4">
        <v>-6.8728792877620643E-3</v>
      </c>
      <c r="J66" s="4">
        <v>5.0633019565466345E-3</v>
      </c>
      <c r="K66" s="4">
        <v>1.2578782206860185E-2</v>
      </c>
      <c r="L66" s="4">
        <v>1.7910926566530243E-2</v>
      </c>
      <c r="M66" s="4">
        <v>2.2814677766171264E-2</v>
      </c>
      <c r="N66" s="4">
        <v>0</v>
      </c>
    </row>
    <row r="67" spans="1:14">
      <c r="A67" s="8">
        <v>39881</v>
      </c>
      <c r="B67" s="4">
        <v>7.2</v>
      </c>
      <c r="C67" s="4">
        <v>3.94</v>
      </c>
      <c r="D67" s="4">
        <v>0.79</v>
      </c>
      <c r="E67" s="4">
        <v>3.32</v>
      </c>
      <c r="F67" s="4">
        <v>2.56</v>
      </c>
      <c r="G67" s="4">
        <v>7.9</v>
      </c>
      <c r="I67" s="4">
        <v>-6.9204428445737952E-3</v>
      </c>
      <c r="J67" s="4">
        <v>-5.063301956546762E-3</v>
      </c>
      <c r="K67" s="4">
        <v>-1.2578782206860073E-2</v>
      </c>
      <c r="L67" s="4">
        <v>-1.7910926566530219E-2</v>
      </c>
      <c r="M67" s="4">
        <v>-3.8318864302136657E-2</v>
      </c>
      <c r="N67" s="4">
        <v>6.3492276786587445E-3</v>
      </c>
    </row>
    <row r="68" spans="1:14">
      <c r="A68" s="8">
        <v>39882</v>
      </c>
      <c r="B68" s="4">
        <v>7.3</v>
      </c>
      <c r="C68" s="4">
        <v>4</v>
      </c>
      <c r="D68" s="4">
        <v>0.8</v>
      </c>
      <c r="E68" s="4">
        <v>3.36</v>
      </c>
      <c r="F68" s="4">
        <v>2.6</v>
      </c>
      <c r="G68" s="4">
        <v>8</v>
      </c>
      <c r="I68" s="4">
        <v>1.3793322132335769E-2</v>
      </c>
      <c r="J68" s="4">
        <v>1.5113637810048106E-2</v>
      </c>
      <c r="K68" s="4">
        <v>1.2578782206860185E-2</v>
      </c>
      <c r="L68" s="4">
        <v>1.197619104671562E-2</v>
      </c>
      <c r="M68" s="4">
        <v>1.5504186535965254E-2</v>
      </c>
      <c r="N68" s="4">
        <v>1.2578782206859965E-2</v>
      </c>
    </row>
    <row r="69" spans="1:14">
      <c r="A69" s="8">
        <v>39883</v>
      </c>
      <c r="B69" s="4">
        <v>7.25</v>
      </c>
      <c r="C69" s="4">
        <v>3.98</v>
      </c>
      <c r="D69" s="4">
        <v>0.82</v>
      </c>
      <c r="E69" s="4">
        <v>3.34</v>
      </c>
      <c r="F69" s="4">
        <v>2.6</v>
      </c>
      <c r="G69" s="4">
        <v>8</v>
      </c>
      <c r="I69" s="4">
        <v>-6.8728792877620643E-3</v>
      </c>
      <c r="J69" s="4">
        <v>-5.0125418235442863E-3</v>
      </c>
      <c r="K69" s="4">
        <v>2.4692612590371414E-2</v>
      </c>
      <c r="L69" s="4">
        <v>-5.970166986503796E-3</v>
      </c>
      <c r="M69" s="4">
        <v>0</v>
      </c>
      <c r="N69" s="4">
        <v>0</v>
      </c>
    </row>
    <row r="70" spans="1:14">
      <c r="A70" s="8">
        <v>39884</v>
      </c>
      <c r="B70" s="4">
        <v>7.3</v>
      </c>
      <c r="C70" s="4">
        <v>3.64</v>
      </c>
      <c r="D70" s="4">
        <v>0.81</v>
      </c>
      <c r="E70" s="4">
        <v>3.34</v>
      </c>
      <c r="F70" s="4">
        <v>2.64</v>
      </c>
      <c r="G70" s="4">
        <v>8.1</v>
      </c>
      <c r="I70" s="4">
        <v>6.8728792877620504E-3</v>
      </c>
      <c r="J70" s="4">
        <v>-8.9298137647696965E-2</v>
      </c>
      <c r="K70" s="4">
        <v>-1.2270092591814247E-2</v>
      </c>
      <c r="L70" s="4">
        <v>0</v>
      </c>
      <c r="M70" s="4">
        <v>1.5267472130788381E-2</v>
      </c>
      <c r="N70" s="4">
        <v>1.242251999855711E-2</v>
      </c>
    </row>
    <row r="71" spans="1:14">
      <c r="A71" s="8">
        <v>39885</v>
      </c>
      <c r="B71" s="4">
        <v>7.4</v>
      </c>
      <c r="C71" s="4">
        <v>3.68</v>
      </c>
      <c r="D71" s="4">
        <v>0.8</v>
      </c>
      <c r="E71" s="4">
        <v>3.32</v>
      </c>
      <c r="F71" s="4">
        <v>2.84</v>
      </c>
      <c r="G71" s="4">
        <v>8.3000000000000007</v>
      </c>
      <c r="I71" s="4">
        <v>1.3605652055778678E-2</v>
      </c>
      <c r="J71" s="4">
        <v>1.092907053219023E-2</v>
      </c>
      <c r="K71" s="4">
        <v>-1.2422519998557209E-2</v>
      </c>
      <c r="L71" s="4">
        <v>-6.0060240602119218E-3</v>
      </c>
      <c r="M71" s="4">
        <v>7.3025135014889817E-2</v>
      </c>
      <c r="N71" s="4">
        <v>2.4391453124159263E-2</v>
      </c>
    </row>
    <row r="72" spans="1:14">
      <c r="A72" s="8">
        <v>39888</v>
      </c>
      <c r="B72" s="4">
        <v>7.45</v>
      </c>
      <c r="C72" s="4">
        <v>3.76</v>
      </c>
      <c r="D72" s="4">
        <v>0.8</v>
      </c>
      <c r="E72" s="4">
        <v>3.32</v>
      </c>
      <c r="F72" s="4">
        <v>2.82</v>
      </c>
      <c r="G72" s="4">
        <v>8.6</v>
      </c>
      <c r="I72" s="4">
        <v>6.7340321813441194E-3</v>
      </c>
      <c r="J72" s="4">
        <v>2.1506205220963463E-2</v>
      </c>
      <c r="K72" s="4">
        <v>0</v>
      </c>
      <c r="L72" s="4">
        <v>0</v>
      </c>
      <c r="M72" s="4">
        <v>-7.067167223092443E-3</v>
      </c>
      <c r="N72" s="4">
        <v>3.5506688456909602E-2</v>
      </c>
    </row>
    <row r="73" spans="1:14">
      <c r="A73" s="8">
        <v>39889</v>
      </c>
      <c r="B73" s="4">
        <v>7.35</v>
      </c>
      <c r="C73" s="4">
        <v>3.9</v>
      </c>
      <c r="D73" s="4">
        <v>0.81</v>
      </c>
      <c r="E73" s="4">
        <v>3.34</v>
      </c>
      <c r="F73" s="4">
        <v>2.82</v>
      </c>
      <c r="G73" s="4">
        <v>8.5</v>
      </c>
      <c r="I73" s="4">
        <v>-1.3513719166722933E-2</v>
      </c>
      <c r="J73" s="4">
        <v>3.6557595733797729E-2</v>
      </c>
      <c r="K73" s="4">
        <v>1.242251999855711E-2</v>
      </c>
      <c r="L73" s="4">
        <v>6.0060240602119487E-3</v>
      </c>
      <c r="M73" s="4">
        <v>0</v>
      </c>
      <c r="N73" s="4">
        <v>-1.1696039763191187E-2</v>
      </c>
    </row>
    <row r="74" spans="1:14">
      <c r="A74" s="8">
        <v>39890</v>
      </c>
      <c r="B74" s="4">
        <v>7.4</v>
      </c>
      <c r="C74" s="4">
        <v>4</v>
      </c>
      <c r="D74" s="4">
        <v>0.81</v>
      </c>
      <c r="E74" s="4">
        <v>3.32</v>
      </c>
      <c r="F74" s="4">
        <v>2.9</v>
      </c>
      <c r="G74" s="4">
        <v>8.9</v>
      </c>
      <c r="I74" s="4">
        <v>6.7796869853787691E-3</v>
      </c>
      <c r="J74" s="4">
        <v>2.5317807984290001E-2</v>
      </c>
      <c r="K74" s="4">
        <v>0</v>
      </c>
      <c r="L74" s="4">
        <v>-6.0060240602119218E-3</v>
      </c>
      <c r="M74" s="4">
        <v>2.7973852042406162E-2</v>
      </c>
      <c r="N74" s="4">
        <v>4.5985113241823437E-2</v>
      </c>
    </row>
    <row r="75" spans="1:14">
      <c r="A75" s="8">
        <v>39891</v>
      </c>
      <c r="B75" s="4">
        <v>7.4</v>
      </c>
      <c r="C75" s="4">
        <v>3.9</v>
      </c>
      <c r="D75" s="4">
        <v>0.85</v>
      </c>
      <c r="E75" s="4">
        <v>3.28</v>
      </c>
      <c r="F75" s="4">
        <v>2.86</v>
      </c>
      <c r="G75" s="4">
        <v>9.25</v>
      </c>
      <c r="I75" s="4">
        <v>0</v>
      </c>
      <c r="J75" s="4">
        <v>-2.5317807984289897E-2</v>
      </c>
      <c r="K75" s="4">
        <v>4.8202101817877686E-2</v>
      </c>
      <c r="L75" s="4">
        <v>-1.212136053234485E-2</v>
      </c>
      <c r="M75" s="4">
        <v>-1.388911216066715E-2</v>
      </c>
      <c r="N75" s="4">
        <v>3.8572274786239653E-2</v>
      </c>
    </row>
    <row r="76" spans="1:14">
      <c r="A76" s="8">
        <v>39892</v>
      </c>
      <c r="B76" s="4">
        <v>7.35</v>
      </c>
      <c r="C76" s="4">
        <v>3.82</v>
      </c>
      <c r="D76" s="4">
        <v>0.87</v>
      </c>
      <c r="E76" s="4">
        <v>3.34</v>
      </c>
      <c r="F76" s="4">
        <v>2.88</v>
      </c>
      <c r="G76" s="4">
        <v>9.4499999999999993</v>
      </c>
      <c r="I76" s="4">
        <v>-6.7796869853788038E-3</v>
      </c>
      <c r="J76" s="4">
        <v>-2.072613051711697E-2</v>
      </c>
      <c r="K76" s="4">
        <v>2.3256862164267183E-2</v>
      </c>
      <c r="L76" s="4">
        <v>1.8127384592556701E-2</v>
      </c>
      <c r="M76" s="4">
        <v>6.9686693160934355E-3</v>
      </c>
      <c r="N76" s="4">
        <v>2.139118998131756E-2</v>
      </c>
    </row>
    <row r="77" spans="1:14">
      <c r="A77" s="8">
        <v>39895</v>
      </c>
      <c r="B77" s="4">
        <v>7.45</v>
      </c>
      <c r="C77" s="4">
        <v>4.04</v>
      </c>
      <c r="D77" s="4">
        <v>0.86</v>
      </c>
      <c r="E77" s="4">
        <v>3.34</v>
      </c>
      <c r="F77" s="4">
        <v>2.94</v>
      </c>
      <c r="G77" s="4">
        <v>9.6999999999999993</v>
      </c>
      <c r="I77" s="4">
        <v>1.3513719166722855E-2</v>
      </c>
      <c r="J77" s="4">
        <v>5.5994269354575001E-2</v>
      </c>
      <c r="K77" s="4">
        <v>-1.1560822401075971E-2</v>
      </c>
      <c r="L77" s="4">
        <v>0</v>
      </c>
      <c r="M77" s="4">
        <v>2.061928720273561E-2</v>
      </c>
      <c r="N77" s="4">
        <v>2.6111144003685804E-2</v>
      </c>
    </row>
    <row r="78" spans="1:14">
      <c r="A78" s="8">
        <v>39896</v>
      </c>
      <c r="B78" s="4">
        <v>7.4</v>
      </c>
      <c r="C78" s="4">
        <v>4.04</v>
      </c>
      <c r="D78" s="4">
        <v>0.84</v>
      </c>
      <c r="E78" s="4">
        <v>3.32</v>
      </c>
      <c r="F78" s="4">
        <v>2.88</v>
      </c>
      <c r="G78" s="4">
        <v>10.1</v>
      </c>
      <c r="I78" s="4">
        <v>-6.7340321813440683E-3</v>
      </c>
      <c r="J78" s="4">
        <v>0</v>
      </c>
      <c r="K78" s="4">
        <v>-2.3530497410194161E-2</v>
      </c>
      <c r="L78" s="4">
        <v>-6.0060240602119218E-3</v>
      </c>
      <c r="M78" s="4">
        <v>-2.0619287202735703E-2</v>
      </c>
      <c r="N78" s="4">
        <v>4.0409538337876701E-2</v>
      </c>
    </row>
    <row r="79" spans="1:14">
      <c r="A79" s="8">
        <v>39897</v>
      </c>
      <c r="B79" s="4">
        <v>7.4</v>
      </c>
      <c r="C79" s="4">
        <v>4.0199999999999996</v>
      </c>
      <c r="D79" s="4">
        <v>0.84</v>
      </c>
      <c r="E79" s="4">
        <v>3.28</v>
      </c>
      <c r="F79" s="4">
        <v>2.84</v>
      </c>
      <c r="G79" s="4">
        <v>9.8000000000000007</v>
      </c>
      <c r="I79" s="4">
        <v>0</v>
      </c>
      <c r="J79" s="4">
        <v>-4.9627893421291249E-3</v>
      </c>
      <c r="K79" s="4">
        <v>0</v>
      </c>
      <c r="L79" s="4">
        <v>-1.212136053234485E-2</v>
      </c>
      <c r="M79" s="4">
        <v>-1.3986241974739952E-2</v>
      </c>
      <c r="N79" s="4">
        <v>-3.0153038170687443E-2</v>
      </c>
    </row>
    <row r="80" spans="1:14">
      <c r="A80" s="8">
        <v>39898</v>
      </c>
      <c r="B80" s="4">
        <v>7.4</v>
      </c>
      <c r="C80" s="4">
        <v>4.08</v>
      </c>
      <c r="D80" s="4">
        <v>0.82</v>
      </c>
      <c r="E80" s="4">
        <v>3.32</v>
      </c>
      <c r="F80" s="4">
        <v>2.84</v>
      </c>
      <c r="G80" s="4">
        <v>9.65</v>
      </c>
      <c r="I80" s="4">
        <v>0</v>
      </c>
      <c r="J80" s="4">
        <v>1.4815085785140682E-2</v>
      </c>
      <c r="K80" s="4">
        <v>-2.409755157906053E-2</v>
      </c>
      <c r="L80" s="4">
        <v>1.212136053234482E-2</v>
      </c>
      <c r="M80" s="4">
        <v>0</v>
      </c>
      <c r="N80" s="4">
        <v>-1.5424470325631752E-2</v>
      </c>
    </row>
    <row r="81" spans="1:14">
      <c r="A81" s="8">
        <v>39899</v>
      </c>
      <c r="B81" s="4">
        <v>7.4</v>
      </c>
      <c r="C81" s="4">
        <v>4.16</v>
      </c>
      <c r="D81" s="4">
        <v>0.84</v>
      </c>
      <c r="E81" s="4">
        <v>3.36</v>
      </c>
      <c r="F81" s="4">
        <v>2.84</v>
      </c>
      <c r="G81" s="4">
        <v>9.8000000000000007</v>
      </c>
      <c r="I81" s="4">
        <v>0</v>
      </c>
      <c r="J81" s="4">
        <v>1.9418085857101516E-2</v>
      </c>
      <c r="K81" s="4">
        <v>2.4097551579060524E-2</v>
      </c>
      <c r="L81" s="4">
        <v>1.197619104671562E-2</v>
      </c>
      <c r="M81" s="4">
        <v>0</v>
      </c>
      <c r="N81" s="4">
        <v>1.5424470325631731E-2</v>
      </c>
    </row>
    <row r="82" spans="1:14">
      <c r="A82" s="8">
        <v>39902</v>
      </c>
      <c r="B82" s="4">
        <v>7.4</v>
      </c>
      <c r="C82" s="4">
        <v>3.96</v>
      </c>
      <c r="D82" s="4">
        <v>0.84</v>
      </c>
      <c r="E82" s="4">
        <v>3.24</v>
      </c>
      <c r="F82" s="4">
        <v>2.78</v>
      </c>
      <c r="G82" s="4">
        <v>9.5500000000000007</v>
      </c>
      <c r="I82" s="4">
        <v>0</v>
      </c>
      <c r="J82" s="4">
        <v>-4.9271049006782794E-2</v>
      </c>
      <c r="K82" s="4">
        <v>0</v>
      </c>
      <c r="L82" s="4">
        <v>-3.6367644170874715E-2</v>
      </c>
      <c r="M82" s="4">
        <v>-2.1353124470568946E-2</v>
      </c>
      <c r="N82" s="4">
        <v>-2.5841231183887328E-2</v>
      </c>
    </row>
    <row r="83" spans="1:14">
      <c r="A83" s="8">
        <v>39903</v>
      </c>
      <c r="B83" s="4">
        <v>7.4</v>
      </c>
      <c r="C83" s="4">
        <v>4</v>
      </c>
      <c r="D83" s="4">
        <v>0.84</v>
      </c>
      <c r="E83" s="4">
        <v>3.24</v>
      </c>
      <c r="F83" s="4">
        <v>2.74</v>
      </c>
      <c r="G83" s="4">
        <v>9.6</v>
      </c>
      <c r="I83" s="4">
        <v>0</v>
      </c>
      <c r="J83" s="4">
        <v>1.0050335853501506E-2</v>
      </c>
      <c r="K83" s="4">
        <v>0</v>
      </c>
      <c r="L83" s="4">
        <v>0</v>
      </c>
      <c r="M83" s="4">
        <v>-1.4493007302566639E-2</v>
      </c>
      <c r="N83" s="4">
        <v>5.2219439811516249E-3</v>
      </c>
    </row>
    <row r="84" spans="1:14">
      <c r="A84" s="8">
        <v>39904</v>
      </c>
      <c r="B84" s="4">
        <v>7.4</v>
      </c>
      <c r="C84" s="4">
        <v>4.0199999999999996</v>
      </c>
      <c r="D84" s="4">
        <v>0.84</v>
      </c>
      <c r="E84" s="4">
        <v>3.22</v>
      </c>
      <c r="F84" s="4">
        <v>2.76</v>
      </c>
      <c r="G84" s="4">
        <v>9.65</v>
      </c>
      <c r="I84" s="4">
        <v>0</v>
      </c>
      <c r="J84" s="4">
        <v>4.9875415110389679E-3</v>
      </c>
      <c r="K84" s="4">
        <v>0</v>
      </c>
      <c r="L84" s="4">
        <v>-6.191970247921107E-3</v>
      </c>
      <c r="M84" s="4">
        <v>7.2727593290796569E-3</v>
      </c>
      <c r="N84" s="4">
        <v>5.1948168771041511E-3</v>
      </c>
    </row>
    <row r="85" spans="1:14">
      <c r="A85" s="8">
        <v>39905</v>
      </c>
      <c r="B85" s="4">
        <v>7.75</v>
      </c>
      <c r="C85" s="4">
        <v>4.3</v>
      </c>
      <c r="D85" s="4">
        <v>0.88</v>
      </c>
      <c r="E85" s="4">
        <v>3.22</v>
      </c>
      <c r="F85" s="4">
        <v>2.88</v>
      </c>
      <c r="G85" s="4">
        <v>9.85</v>
      </c>
      <c r="I85" s="4">
        <v>4.6212843155131411E-2</v>
      </c>
      <c r="J85" s="4">
        <v>6.733312006858716E-2</v>
      </c>
      <c r="K85" s="4">
        <v>4.6520015634892907E-2</v>
      </c>
      <c r="L85" s="4">
        <v>0</v>
      </c>
      <c r="M85" s="4">
        <v>4.2559614418795903E-2</v>
      </c>
      <c r="N85" s="4">
        <v>2.051353983310281E-2</v>
      </c>
    </row>
    <row r="86" spans="1:14">
      <c r="A86" s="8">
        <v>39906</v>
      </c>
      <c r="B86" s="4">
        <v>7.75</v>
      </c>
      <c r="C86" s="4">
        <v>4.42</v>
      </c>
      <c r="D86" s="4">
        <v>0.88</v>
      </c>
      <c r="E86" s="4">
        <v>3.18</v>
      </c>
      <c r="F86" s="4">
        <v>2.9</v>
      </c>
      <c r="G86" s="4">
        <v>9.8000000000000007</v>
      </c>
      <c r="I86" s="4">
        <v>0</v>
      </c>
      <c r="J86" s="4">
        <v>2.7524673390089936E-2</v>
      </c>
      <c r="K86" s="4">
        <v>0</v>
      </c>
      <c r="L86" s="4">
        <v>-1.2500162764231494E-2</v>
      </c>
      <c r="M86" s="4">
        <v>6.920442844573757E-3</v>
      </c>
      <c r="N86" s="4">
        <v>-5.0890695074711813E-3</v>
      </c>
    </row>
    <row r="87" spans="1:14">
      <c r="A87" s="8">
        <v>39910</v>
      </c>
      <c r="B87" s="4">
        <v>8.4499999999999993</v>
      </c>
      <c r="C87" s="4">
        <v>4.4400000000000004</v>
      </c>
      <c r="D87" s="4">
        <v>0.9</v>
      </c>
      <c r="E87" s="4">
        <v>3.16</v>
      </c>
      <c r="F87" s="4">
        <v>2.9</v>
      </c>
      <c r="G87" s="4">
        <v>9.85</v>
      </c>
      <c r="I87" s="4">
        <v>8.6473598003826854E-2</v>
      </c>
      <c r="J87" s="4">
        <v>4.5146803545268342E-3</v>
      </c>
      <c r="K87" s="4">
        <v>2.2472855852058576E-2</v>
      </c>
      <c r="L87" s="4">
        <v>-6.309169193264721E-3</v>
      </c>
      <c r="M87" s="4">
        <v>0</v>
      </c>
      <c r="N87" s="4">
        <v>5.0890695074712281E-3</v>
      </c>
    </row>
    <row r="88" spans="1:14">
      <c r="A88" s="8">
        <v>39911</v>
      </c>
      <c r="B88" s="4">
        <v>8.85</v>
      </c>
      <c r="C88" s="4">
        <v>4.4400000000000004</v>
      </c>
      <c r="D88" s="4">
        <v>0.9</v>
      </c>
      <c r="E88" s="4">
        <v>3.14</v>
      </c>
      <c r="F88" s="4">
        <v>2.9</v>
      </c>
      <c r="G88" s="4">
        <v>9.8000000000000007</v>
      </c>
      <c r="I88" s="4">
        <v>4.6251017650755691E-2</v>
      </c>
      <c r="J88" s="4">
        <v>0</v>
      </c>
      <c r="K88" s="4">
        <v>0</v>
      </c>
      <c r="L88" s="4">
        <v>-6.34922767865878E-3</v>
      </c>
      <c r="M88" s="4">
        <v>0</v>
      </c>
      <c r="N88" s="4">
        <v>-5.0890695074711813E-3</v>
      </c>
    </row>
    <row r="89" spans="1:14">
      <c r="A89" s="8">
        <v>39912</v>
      </c>
      <c r="B89" s="4">
        <v>8.85</v>
      </c>
      <c r="C89" s="4">
        <v>4.66</v>
      </c>
      <c r="D89" s="4">
        <v>0.9</v>
      </c>
      <c r="E89" s="4">
        <v>3.14</v>
      </c>
      <c r="F89" s="4">
        <v>2.96</v>
      </c>
      <c r="G89" s="4">
        <v>9.85</v>
      </c>
      <c r="I89" s="4">
        <v>0</v>
      </c>
      <c r="J89" s="4">
        <v>4.8361071693421062E-2</v>
      </c>
      <c r="K89" s="4">
        <v>0</v>
      </c>
      <c r="L89" s="4">
        <v>0</v>
      </c>
      <c r="M89" s="4">
        <v>2.0478531343540701E-2</v>
      </c>
      <c r="N89" s="4">
        <v>5.0890695074712281E-3</v>
      </c>
    </row>
    <row r="90" spans="1:14">
      <c r="A90" s="8">
        <v>39913</v>
      </c>
      <c r="B90" s="4">
        <v>9.0500000000000007</v>
      </c>
      <c r="C90" s="4">
        <v>4.8</v>
      </c>
      <c r="D90" s="4">
        <v>0.91</v>
      </c>
      <c r="E90" s="4">
        <v>3.18</v>
      </c>
      <c r="F90" s="4">
        <v>3.06</v>
      </c>
      <c r="G90" s="4">
        <v>10.1</v>
      </c>
      <c r="I90" s="4">
        <v>2.2347298691996618E-2</v>
      </c>
      <c r="J90" s="4">
        <v>2.9600469776290682E-2</v>
      </c>
      <c r="K90" s="4">
        <v>1.1049836186584935E-2</v>
      </c>
      <c r="L90" s="4">
        <v>1.2658396871923465E-2</v>
      </c>
      <c r="M90" s="4">
        <v>3.3225647628320386E-2</v>
      </c>
      <c r="N90" s="4">
        <v>2.506396866321622E-2</v>
      </c>
    </row>
    <row r="91" spans="1:14">
      <c r="A91" s="8">
        <v>39919</v>
      </c>
      <c r="B91" s="4">
        <v>9.6</v>
      </c>
      <c r="C91" s="4">
        <v>4.78</v>
      </c>
      <c r="D91" s="4">
        <v>0.9</v>
      </c>
      <c r="E91" s="4">
        <v>3.16</v>
      </c>
      <c r="F91" s="4">
        <v>3.06</v>
      </c>
      <c r="G91" s="4">
        <v>10.6</v>
      </c>
      <c r="I91" s="4">
        <v>5.8998340761955759E-2</v>
      </c>
      <c r="J91" s="4">
        <v>-4.1753714104805105E-3</v>
      </c>
      <c r="K91" s="4">
        <v>-1.1049836186584935E-2</v>
      </c>
      <c r="L91" s="4">
        <v>-6.309169193264721E-3</v>
      </c>
      <c r="M91" s="4">
        <v>0</v>
      </c>
      <c r="N91" s="4">
        <v>4.8318577270807732E-2</v>
      </c>
    </row>
    <row r="92" spans="1:14">
      <c r="A92" s="8">
        <v>39920</v>
      </c>
      <c r="B92" s="4">
        <v>9.6999999999999993</v>
      </c>
      <c r="C92" s="4">
        <v>4.6399999999999997</v>
      </c>
      <c r="D92" s="4">
        <v>0.88</v>
      </c>
      <c r="E92" s="4">
        <v>3.12</v>
      </c>
      <c r="F92" s="4">
        <v>3.1</v>
      </c>
      <c r="G92" s="4">
        <v>10.6</v>
      </c>
      <c r="I92" s="4">
        <v>1.0362787035546658E-2</v>
      </c>
      <c r="J92" s="4">
        <v>-2.9726180265200849E-2</v>
      </c>
      <c r="K92" s="4">
        <v>-2.2472855852058628E-2</v>
      </c>
      <c r="L92" s="4">
        <v>-1.2739025777429714E-2</v>
      </c>
      <c r="M92" s="4">
        <v>1.2987195526811112E-2</v>
      </c>
      <c r="N92" s="4">
        <v>0</v>
      </c>
    </row>
    <row r="93" spans="1:14">
      <c r="A93" s="8">
        <v>39923</v>
      </c>
      <c r="B93" s="4">
        <v>10</v>
      </c>
      <c r="C93" s="4">
        <v>4.66</v>
      </c>
      <c r="D93" s="4">
        <v>0.96</v>
      </c>
      <c r="E93" s="4">
        <v>3.16</v>
      </c>
      <c r="F93" s="4">
        <v>3.3</v>
      </c>
      <c r="G93" s="4">
        <v>10.8</v>
      </c>
      <c r="I93" s="4">
        <v>3.0459207484708654E-2</v>
      </c>
      <c r="J93" s="4">
        <v>4.3010818993907017E-3</v>
      </c>
      <c r="K93" s="4">
        <v>8.7011376989629699E-2</v>
      </c>
      <c r="L93" s="4">
        <v>1.2739025777429712E-2</v>
      </c>
      <c r="M93" s="4">
        <v>6.252035698133393E-2</v>
      </c>
      <c r="N93" s="4">
        <v>1.8692133012152546E-2</v>
      </c>
    </row>
    <row r="94" spans="1:14">
      <c r="A94" s="8">
        <v>39924</v>
      </c>
      <c r="B94" s="4">
        <v>9.9499999999999993</v>
      </c>
      <c r="C94" s="4">
        <v>4.58</v>
      </c>
      <c r="D94" s="4">
        <v>0.9</v>
      </c>
      <c r="E94" s="4">
        <v>3.16</v>
      </c>
      <c r="F94" s="4">
        <v>3.28</v>
      </c>
      <c r="G94" s="4">
        <v>10.9</v>
      </c>
      <c r="I94" s="4">
        <v>-5.0125418235443982E-3</v>
      </c>
      <c r="J94" s="4">
        <v>-1.731645001146093E-2</v>
      </c>
      <c r="K94" s="4">
        <v>-6.4538521137571053E-2</v>
      </c>
      <c r="L94" s="4">
        <v>0</v>
      </c>
      <c r="M94" s="4">
        <v>-6.0790460763822263E-3</v>
      </c>
      <c r="N94" s="4">
        <v>9.2166551049240476E-3</v>
      </c>
    </row>
    <row r="95" spans="1:14">
      <c r="A95" s="8">
        <v>39925</v>
      </c>
      <c r="B95" s="4">
        <v>9.65</v>
      </c>
      <c r="C95" s="4">
        <v>4.5</v>
      </c>
      <c r="D95" s="4">
        <v>0.89</v>
      </c>
      <c r="E95" s="4">
        <v>3.22</v>
      </c>
      <c r="F95" s="4">
        <v>3.24</v>
      </c>
      <c r="G95" s="4">
        <v>10.7</v>
      </c>
      <c r="I95" s="4">
        <v>-3.0614635819606748E-2</v>
      </c>
      <c r="J95" s="4">
        <v>-1.7621601349819559E-2</v>
      </c>
      <c r="K95" s="4">
        <v>-1.1173300598125189E-2</v>
      </c>
      <c r="L95" s="4">
        <v>1.8809331957496293E-2</v>
      </c>
      <c r="M95" s="4">
        <v>-1.2270092591814247E-2</v>
      </c>
      <c r="N95" s="4">
        <v>-1.8519047767237642E-2</v>
      </c>
    </row>
    <row r="96" spans="1:14">
      <c r="A96" s="8">
        <v>39926</v>
      </c>
      <c r="B96" s="4">
        <v>9.8000000000000007</v>
      </c>
      <c r="C96" s="4">
        <v>4.54</v>
      </c>
      <c r="D96" s="4">
        <v>0.89</v>
      </c>
      <c r="E96" s="4">
        <v>3.28</v>
      </c>
      <c r="F96" s="4">
        <v>3.34</v>
      </c>
      <c r="G96" s="4">
        <v>11</v>
      </c>
      <c r="I96" s="4">
        <v>1.5424470325631731E-2</v>
      </c>
      <c r="J96" s="4">
        <v>8.8496152769826E-3</v>
      </c>
      <c r="K96" s="4">
        <v>0</v>
      </c>
      <c r="L96" s="4">
        <v>1.8462062839735352E-2</v>
      </c>
      <c r="M96" s="4">
        <v>3.0397477184370948E-2</v>
      </c>
      <c r="N96" s="4">
        <v>2.7651531330510164E-2</v>
      </c>
    </row>
    <row r="97" spans="1:14">
      <c r="A97" s="8">
        <v>39927</v>
      </c>
      <c r="B97" s="4">
        <v>9.85</v>
      </c>
      <c r="C97" s="4">
        <v>4.76</v>
      </c>
      <c r="D97" s="4">
        <v>0.89</v>
      </c>
      <c r="E97" s="4">
        <v>3.26</v>
      </c>
      <c r="F97" s="4">
        <v>3.36</v>
      </c>
      <c r="G97" s="4">
        <v>11.1</v>
      </c>
      <c r="I97" s="4">
        <v>5.0890695074712281E-3</v>
      </c>
      <c r="J97" s="4">
        <v>4.7320656190071954E-2</v>
      </c>
      <c r="K97" s="4">
        <v>0</v>
      </c>
      <c r="L97" s="4">
        <v>-6.1162270174360944E-3</v>
      </c>
      <c r="M97" s="4">
        <v>5.9701669865037544E-3</v>
      </c>
      <c r="N97" s="4">
        <v>9.0498355199178562E-3</v>
      </c>
    </row>
    <row r="98" spans="1:14">
      <c r="A98" s="8">
        <v>39930</v>
      </c>
      <c r="B98" s="4">
        <v>9.9</v>
      </c>
      <c r="C98" s="4">
        <v>4.96</v>
      </c>
      <c r="D98" s="4">
        <v>0.89</v>
      </c>
      <c r="E98" s="4">
        <v>3.24</v>
      </c>
      <c r="F98" s="4">
        <v>3.26</v>
      </c>
      <c r="G98" s="4">
        <v>10.9</v>
      </c>
      <c r="I98" s="4">
        <v>5.0633019565468548E-3</v>
      </c>
      <c r="J98" s="4">
        <v>4.1158072493507551E-2</v>
      </c>
      <c r="K98" s="4">
        <v>0</v>
      </c>
      <c r="L98" s="4">
        <v>-6.1538655743781116E-3</v>
      </c>
      <c r="M98" s="4">
        <v>-3.0213778596496595E-2</v>
      </c>
      <c r="N98" s="4">
        <v>-1.818231908319036E-2</v>
      </c>
    </row>
    <row r="99" spans="1:14">
      <c r="A99" s="8">
        <v>39931</v>
      </c>
      <c r="B99" s="4">
        <v>10.199999999999999</v>
      </c>
      <c r="C99" s="4">
        <v>4.92</v>
      </c>
      <c r="D99" s="4">
        <v>0.92</v>
      </c>
      <c r="E99" s="4">
        <v>3.22</v>
      </c>
      <c r="F99" s="4">
        <v>3.18</v>
      </c>
      <c r="G99" s="4">
        <v>10.7</v>
      </c>
      <c r="I99" s="4">
        <v>2.9852963149681128E-2</v>
      </c>
      <c r="J99" s="4">
        <v>-8.0972102326193618E-3</v>
      </c>
      <c r="K99" s="4">
        <v>3.315220731690055E-2</v>
      </c>
      <c r="L99" s="4">
        <v>-6.191970247921107E-3</v>
      </c>
      <c r="M99" s="4">
        <v>-2.4845998586530662E-2</v>
      </c>
      <c r="N99" s="4">
        <v>-1.8519047767237642E-2</v>
      </c>
    </row>
    <row r="100" spans="1:14">
      <c r="A100" s="8">
        <v>39932</v>
      </c>
      <c r="B100" s="4">
        <v>10.6</v>
      </c>
      <c r="C100" s="4">
        <v>5.55</v>
      </c>
      <c r="D100" s="4">
        <v>0.93</v>
      </c>
      <c r="E100" s="4">
        <v>3.3</v>
      </c>
      <c r="F100" s="4">
        <v>3.3</v>
      </c>
      <c r="G100" s="4">
        <v>11.4</v>
      </c>
      <c r="I100" s="4">
        <v>3.8466280827796143E-2</v>
      </c>
      <c r="J100" s="4">
        <v>0.1204893972541263</v>
      </c>
      <c r="K100" s="4">
        <v>1.0810916104215676E-2</v>
      </c>
      <c r="L100" s="4">
        <v>2.4541108916117445E-2</v>
      </c>
      <c r="M100" s="4">
        <v>3.7041271680349076E-2</v>
      </c>
      <c r="N100" s="4">
        <v>6.33696139325894E-2</v>
      </c>
    </row>
    <row r="101" spans="1:14">
      <c r="A101" s="8">
        <v>39933</v>
      </c>
      <c r="B101" s="4">
        <v>9.9499999999999993</v>
      </c>
      <c r="C101" s="4">
        <v>5.7</v>
      </c>
      <c r="D101" s="4">
        <v>1.04</v>
      </c>
      <c r="E101" s="4">
        <v>3.32</v>
      </c>
      <c r="F101" s="4">
        <v>3.44</v>
      </c>
      <c r="G101" s="4">
        <v>11.2</v>
      </c>
      <c r="I101" s="4">
        <v>-6.3281449947520108E-2</v>
      </c>
      <c r="J101" s="4">
        <v>2.6668247082161489E-2</v>
      </c>
      <c r="K101" s="4">
        <v>0.11179140598811663</v>
      </c>
      <c r="L101" s="4">
        <v>6.0423144559626617E-3</v>
      </c>
      <c r="M101" s="4">
        <v>4.1549002912872481E-2</v>
      </c>
      <c r="N101" s="4">
        <v>-1.7699577099400975E-2</v>
      </c>
    </row>
    <row r="102" spans="1:14">
      <c r="A102" s="8">
        <v>39937</v>
      </c>
      <c r="B102" s="4">
        <v>10.199999999999999</v>
      </c>
      <c r="C102" s="4">
        <v>5.65</v>
      </c>
      <c r="D102" s="4">
        <v>1.1100000000000001</v>
      </c>
      <c r="E102" s="4">
        <v>3.44</v>
      </c>
      <c r="F102" s="4">
        <v>3.76</v>
      </c>
      <c r="G102" s="4">
        <v>11.7</v>
      </c>
      <c r="I102" s="4">
        <v>2.4815169119723993E-2</v>
      </c>
      <c r="J102" s="4">
        <v>-8.810629682154807E-3</v>
      </c>
      <c r="K102" s="4">
        <v>6.5139302170961449E-2</v>
      </c>
      <c r="L102" s="4">
        <v>3.5506688456909817E-2</v>
      </c>
      <c r="M102" s="4">
        <v>8.8947486016496116E-2</v>
      </c>
      <c r="N102" s="4">
        <v>4.3675063502661635E-2</v>
      </c>
    </row>
    <row r="103" spans="1:14">
      <c r="A103" s="8">
        <v>39939</v>
      </c>
      <c r="B103" s="4">
        <v>13.2</v>
      </c>
      <c r="C103" s="4">
        <v>6.25</v>
      </c>
      <c r="D103" s="4">
        <v>1.26</v>
      </c>
      <c r="E103" s="4">
        <v>3.72</v>
      </c>
      <c r="F103" s="4">
        <v>3.82</v>
      </c>
      <c r="G103" s="4">
        <v>13</v>
      </c>
      <c r="I103" s="4">
        <v>0.25782910930209985</v>
      </c>
      <c r="J103" s="4">
        <v>0.1009259185899605</v>
      </c>
      <c r="K103" s="4">
        <v>0.12675170563914381</v>
      </c>
      <c r="L103" s="4">
        <v>7.8252196899748341E-2</v>
      </c>
      <c r="M103" s="4">
        <v>1.5831465216680662E-2</v>
      </c>
      <c r="N103" s="4">
        <v>0.10536051565782635</v>
      </c>
    </row>
    <row r="104" spans="1:14">
      <c r="A104" s="8">
        <v>39940</v>
      </c>
      <c r="B104" s="4">
        <v>14.9</v>
      </c>
      <c r="C104" s="4">
        <v>6.05</v>
      </c>
      <c r="D104" s="4">
        <v>1.24</v>
      </c>
      <c r="E104" s="4">
        <v>3.76</v>
      </c>
      <c r="F104" s="4">
        <v>4.78</v>
      </c>
      <c r="G104" s="4">
        <v>13.3</v>
      </c>
      <c r="I104" s="4">
        <v>0.12114438335908838</v>
      </c>
      <c r="J104" s="4">
        <v>-3.2523191705560062E-2</v>
      </c>
      <c r="K104" s="4">
        <v>-1.6000341346441189E-2</v>
      </c>
      <c r="L104" s="4">
        <v>1.069528911674795E-2</v>
      </c>
      <c r="M104" s="4">
        <v>0.22419012388488083</v>
      </c>
      <c r="N104" s="4">
        <v>2.2814677766171482E-2</v>
      </c>
    </row>
    <row r="105" spans="1:14">
      <c r="A105" s="8">
        <v>39944</v>
      </c>
      <c r="B105" s="4">
        <v>13.9</v>
      </c>
      <c r="C105" s="4">
        <v>5.85</v>
      </c>
      <c r="D105" s="4">
        <v>1.18</v>
      </c>
      <c r="E105" s="4">
        <v>3.72</v>
      </c>
      <c r="F105" s="4">
        <v>4.76</v>
      </c>
      <c r="G105" s="4">
        <v>12.4</v>
      </c>
      <c r="I105" s="4">
        <v>-6.9472372814767397E-2</v>
      </c>
      <c r="J105" s="4">
        <v>-3.3616610798984974E-2</v>
      </c>
      <c r="K105" s="4">
        <v>-4.9596941139372179E-2</v>
      </c>
      <c r="L105" s="4">
        <v>-1.0695289116747806E-2</v>
      </c>
      <c r="M105" s="4">
        <v>-4.1928782600360393E-3</v>
      </c>
      <c r="N105" s="4">
        <v>-7.0067562616716955E-2</v>
      </c>
    </row>
    <row r="106" spans="1:14">
      <c r="A106" s="8">
        <v>39945</v>
      </c>
      <c r="B106" s="4">
        <v>14.4</v>
      </c>
      <c r="C106" s="4">
        <v>6.4</v>
      </c>
      <c r="D106" s="4">
        <v>1.18</v>
      </c>
      <c r="E106" s="4">
        <v>3.72</v>
      </c>
      <c r="F106" s="4">
        <v>5.15</v>
      </c>
      <c r="G106" s="4">
        <v>12.5</v>
      </c>
      <c r="I106" s="4">
        <v>3.5339366445308863E-2</v>
      </c>
      <c r="J106" s="4">
        <v>8.9856329121861145E-2</v>
      </c>
      <c r="K106" s="4">
        <v>0</v>
      </c>
      <c r="L106" s="4">
        <v>0</v>
      </c>
      <c r="M106" s="4">
        <v>7.8749046432316283E-2</v>
      </c>
      <c r="N106" s="4">
        <v>8.0321716972642527E-3</v>
      </c>
    </row>
    <row r="107" spans="1:14">
      <c r="A107" s="8">
        <v>39946</v>
      </c>
      <c r="B107" s="4">
        <v>13.9</v>
      </c>
      <c r="C107" s="4">
        <v>7</v>
      </c>
      <c r="D107" s="4">
        <v>1.17</v>
      </c>
      <c r="E107" s="4">
        <v>3.82</v>
      </c>
      <c r="F107" s="4">
        <v>5.6</v>
      </c>
      <c r="G107" s="4">
        <v>12.4</v>
      </c>
      <c r="I107" s="4">
        <v>-3.5339366445308849E-2</v>
      </c>
      <c r="J107" s="4">
        <v>8.9612158689687138E-2</v>
      </c>
      <c r="K107" s="4">
        <v>-8.5106896679086191E-3</v>
      </c>
      <c r="L107" s="4">
        <v>2.6526754333428604E-2</v>
      </c>
      <c r="M107" s="4">
        <v>8.3769883065458739E-2</v>
      </c>
      <c r="N107" s="4">
        <v>-8.0321716972642666E-3</v>
      </c>
    </row>
    <row r="108" spans="1:14">
      <c r="A108" s="8">
        <v>39947</v>
      </c>
      <c r="B108" s="4">
        <v>12.9</v>
      </c>
      <c r="C108" s="4">
        <v>6.45</v>
      </c>
      <c r="D108" s="4">
        <v>1.07</v>
      </c>
      <c r="E108" s="4">
        <v>4</v>
      </c>
      <c r="F108" s="4">
        <v>5.25</v>
      </c>
      <c r="G108" s="4">
        <v>11.7</v>
      </c>
      <c r="I108" s="4">
        <v>-7.4661528769019644E-2</v>
      </c>
      <c r="J108" s="4">
        <v>-8.1830018247632128E-2</v>
      </c>
      <c r="K108" s="4">
        <v>-8.9345100335849859E-2</v>
      </c>
      <c r="L108" s="4">
        <v>4.6043938501406798E-2</v>
      </c>
      <c r="M108" s="4">
        <v>-6.4538521137571053E-2</v>
      </c>
      <c r="N108" s="4">
        <v>-5.8107630807280812E-2</v>
      </c>
    </row>
    <row r="109" spans="1:14">
      <c r="A109" s="8">
        <v>39948</v>
      </c>
      <c r="B109" s="4">
        <v>13.9</v>
      </c>
      <c r="C109" s="4">
        <v>6.7</v>
      </c>
      <c r="D109" s="4">
        <v>1.03</v>
      </c>
      <c r="E109" s="4">
        <v>4</v>
      </c>
      <c r="F109" s="4">
        <v>4.9400000000000004</v>
      </c>
      <c r="G109" s="4">
        <v>12</v>
      </c>
      <c r="I109" s="4">
        <v>7.4661528769019561E-2</v>
      </c>
      <c r="J109" s="4">
        <v>3.8027395589239323E-2</v>
      </c>
      <c r="K109" s="4">
        <v>-3.8099846232270404E-2</v>
      </c>
      <c r="L109" s="4">
        <v>0</v>
      </c>
      <c r="M109" s="4">
        <v>-6.0862745403701207E-2</v>
      </c>
      <c r="N109" s="4">
        <v>2.5317807984290001E-2</v>
      </c>
    </row>
    <row r="110" spans="1:14">
      <c r="A110" s="8">
        <v>39951</v>
      </c>
      <c r="B110" s="4">
        <v>14.6</v>
      </c>
      <c r="C110" s="4">
        <v>6.95</v>
      </c>
      <c r="D110" s="4">
        <v>1.05</v>
      </c>
      <c r="E110" s="4">
        <v>4.0199999999999996</v>
      </c>
      <c r="F110" s="4">
        <v>5.2</v>
      </c>
      <c r="G110" s="4">
        <v>12.6</v>
      </c>
      <c r="I110" s="4">
        <v>4.9132688577644593E-2</v>
      </c>
      <c r="J110" s="4">
        <v>3.6634133179780384E-2</v>
      </c>
      <c r="K110" s="4">
        <v>1.9231361927887592E-2</v>
      </c>
      <c r="L110" s="4">
        <v>4.9875415110389679E-3</v>
      </c>
      <c r="M110" s="4">
        <v>5.1293294387550481E-2</v>
      </c>
      <c r="N110" s="4">
        <v>4.8790164169432049E-2</v>
      </c>
    </row>
    <row r="111" spans="1:14">
      <c r="A111" s="8">
        <v>39952</v>
      </c>
      <c r="B111" s="4">
        <v>14.8</v>
      </c>
      <c r="C111" s="4">
        <v>7.25</v>
      </c>
      <c r="D111" s="4">
        <v>1.08</v>
      </c>
      <c r="E111" s="4">
        <v>4.12</v>
      </c>
      <c r="F111" s="4">
        <v>5.3</v>
      </c>
      <c r="G111" s="4">
        <v>12.7</v>
      </c>
      <c r="I111" s="4">
        <v>1.3605652055778678E-2</v>
      </c>
      <c r="J111" s="4">
        <v>4.2259809289882599E-2</v>
      </c>
      <c r="K111" s="4">
        <v>2.8170876966696439E-2</v>
      </c>
      <c r="L111" s="4">
        <v>2.4571260730505542E-2</v>
      </c>
      <c r="M111" s="4">
        <v>1.9048194970694411E-2</v>
      </c>
      <c r="N111" s="4">
        <v>7.9051795071132473E-3</v>
      </c>
    </row>
    <row r="112" spans="1:14">
      <c r="A112" s="8">
        <v>39953</v>
      </c>
      <c r="B112" s="4">
        <v>14.8</v>
      </c>
      <c r="C112" s="4">
        <v>7.35</v>
      </c>
      <c r="D112" s="4">
        <v>1.1299999999999999</v>
      </c>
      <c r="E112" s="4">
        <v>4.12</v>
      </c>
      <c r="F112" s="4">
        <v>5.2</v>
      </c>
      <c r="G112" s="4">
        <v>12.8</v>
      </c>
      <c r="I112" s="4">
        <v>0</v>
      </c>
      <c r="J112" s="4">
        <v>1.3698844358161927E-2</v>
      </c>
      <c r="K112" s="4">
        <v>4.5256591588120648E-2</v>
      </c>
      <c r="L112" s="4">
        <v>0</v>
      </c>
      <c r="M112" s="4">
        <v>-1.9048194970694363E-2</v>
      </c>
      <c r="N112" s="4">
        <v>7.843177461026099E-3</v>
      </c>
    </row>
    <row r="113" spans="1:14">
      <c r="A113" s="8">
        <v>39954</v>
      </c>
      <c r="B113" s="4">
        <v>14.3</v>
      </c>
      <c r="C113" s="4">
        <v>7.1</v>
      </c>
      <c r="D113" s="4">
        <v>1.22</v>
      </c>
      <c r="E113" s="4">
        <v>4.0599999999999996</v>
      </c>
      <c r="F113" s="4">
        <v>5</v>
      </c>
      <c r="G113" s="4">
        <v>12.7</v>
      </c>
      <c r="I113" s="4">
        <v>-3.4367643504207769E-2</v>
      </c>
      <c r="J113" s="4">
        <v>-3.4605529177475607E-2</v>
      </c>
      <c r="K113" s="4">
        <v>7.6633226020916101E-2</v>
      </c>
      <c r="L113" s="4">
        <v>-1.4670189747793855E-2</v>
      </c>
      <c r="M113" s="4">
        <v>-3.9220713153281385E-2</v>
      </c>
      <c r="N113" s="4">
        <v>-7.8431774610260054E-3</v>
      </c>
    </row>
    <row r="114" spans="1:14">
      <c r="A114" s="8">
        <v>39955</v>
      </c>
      <c r="B114" s="4">
        <v>14.4</v>
      </c>
      <c r="C114" s="4">
        <v>7.75</v>
      </c>
      <c r="D114" s="4">
        <v>1.23</v>
      </c>
      <c r="E114" s="4">
        <v>4.08</v>
      </c>
      <c r="F114" s="4">
        <v>5.05</v>
      </c>
      <c r="G114" s="4">
        <v>12.9</v>
      </c>
      <c r="I114" s="4">
        <v>6.9686693160932152E-3</v>
      </c>
      <c r="J114" s="4">
        <v>8.7598059317985977E-2</v>
      </c>
      <c r="K114" s="4">
        <v>8.1633106391608354E-3</v>
      </c>
      <c r="L114" s="4">
        <v>4.9140148024291626E-3</v>
      </c>
      <c r="M114" s="4">
        <v>9.950330853168092E-3</v>
      </c>
      <c r="N114" s="4">
        <v>1.5625317903081033E-2</v>
      </c>
    </row>
    <row r="115" spans="1:14">
      <c r="A115" s="8">
        <v>39958</v>
      </c>
      <c r="B115" s="4">
        <v>14</v>
      </c>
      <c r="C115" s="4">
        <v>8.15</v>
      </c>
      <c r="D115" s="4">
        <v>1.23</v>
      </c>
      <c r="E115" s="4">
        <v>4.18</v>
      </c>
      <c r="F115" s="4">
        <v>4.92</v>
      </c>
      <c r="G115" s="4">
        <v>12.9</v>
      </c>
      <c r="I115" s="4">
        <v>-2.8170876966696335E-2</v>
      </c>
      <c r="J115" s="4">
        <v>5.0325083887515838E-2</v>
      </c>
      <c r="K115" s="4">
        <v>0</v>
      </c>
      <c r="L115" s="4">
        <v>2.421425812059453E-2</v>
      </c>
      <c r="M115" s="4">
        <v>-2.6079712783051736E-2</v>
      </c>
      <c r="N115" s="4">
        <v>0</v>
      </c>
    </row>
    <row r="116" spans="1:14">
      <c r="A116" s="8">
        <v>39959</v>
      </c>
      <c r="B116" s="4">
        <v>13.8</v>
      </c>
      <c r="C116" s="4">
        <v>7.3</v>
      </c>
      <c r="D116" s="4">
        <v>1.19</v>
      </c>
      <c r="E116" s="4">
        <v>4.2</v>
      </c>
      <c r="F116" s="4">
        <v>4.8600000000000003</v>
      </c>
      <c r="G116" s="4">
        <v>12.8</v>
      </c>
      <c r="I116" s="4">
        <v>-1.4388737452099556E-2</v>
      </c>
      <c r="J116" s="4">
        <v>-0.11014357909842597</v>
      </c>
      <c r="K116" s="4">
        <v>-3.3060862260888176E-2</v>
      </c>
      <c r="L116" s="4">
        <v>4.7732787526578117E-3</v>
      </c>
      <c r="M116" s="4">
        <v>-1.2270092591814247E-2</v>
      </c>
      <c r="N116" s="4">
        <v>-7.7821404420549628E-3</v>
      </c>
    </row>
    <row r="117" spans="1:14">
      <c r="A117" s="8">
        <v>39960</v>
      </c>
      <c r="B117" s="4">
        <v>13.8</v>
      </c>
      <c r="C117" s="4">
        <v>7.65</v>
      </c>
      <c r="D117" s="4">
        <v>1.24</v>
      </c>
      <c r="E117" s="4">
        <v>4.26</v>
      </c>
      <c r="F117" s="4">
        <v>5</v>
      </c>
      <c r="G117" s="4">
        <v>12.9</v>
      </c>
      <c r="I117" s="4">
        <v>0</v>
      </c>
      <c r="J117" s="4">
        <v>4.6831299684098993E-2</v>
      </c>
      <c r="K117" s="4">
        <v>4.1158072493507551E-2</v>
      </c>
      <c r="L117" s="4">
        <v>1.4184634991956381E-2</v>
      </c>
      <c r="M117" s="4">
        <v>2.8399474521697957E-2</v>
      </c>
      <c r="N117" s="4">
        <v>7.782140442054949E-3</v>
      </c>
    </row>
    <row r="118" spans="1:14">
      <c r="A118" s="8">
        <v>39961</v>
      </c>
      <c r="B118" s="4">
        <v>13.9</v>
      </c>
      <c r="C118" s="4">
        <v>7.4</v>
      </c>
      <c r="D118" s="4">
        <v>1.25</v>
      </c>
      <c r="E118" s="4">
        <v>4.24</v>
      </c>
      <c r="F118" s="4">
        <v>5.05</v>
      </c>
      <c r="G118" s="4">
        <v>12.9</v>
      </c>
      <c r="I118" s="4">
        <v>7.2202479734870973E-3</v>
      </c>
      <c r="J118" s="4">
        <v>-3.3225647628320393E-2</v>
      </c>
      <c r="K118" s="4">
        <v>8.0321716972642527E-3</v>
      </c>
      <c r="L118" s="4">
        <v>-4.7058910374125048E-3</v>
      </c>
      <c r="M118" s="4">
        <v>9.950330853168092E-3</v>
      </c>
      <c r="N118" s="4">
        <v>0</v>
      </c>
    </row>
    <row r="119" spans="1:14">
      <c r="A119" s="8">
        <v>39962</v>
      </c>
      <c r="B119" s="4">
        <v>13.9</v>
      </c>
      <c r="C119" s="4">
        <v>7.65</v>
      </c>
      <c r="D119" s="4">
        <v>1.37</v>
      </c>
      <c r="E119" s="4">
        <v>4.24</v>
      </c>
      <c r="F119" s="4">
        <v>5.0999999999999996</v>
      </c>
      <c r="G119" s="4">
        <v>12.9</v>
      </c>
      <c r="I119" s="4">
        <v>0</v>
      </c>
      <c r="J119" s="4">
        <v>3.3225647628320386E-2</v>
      </c>
      <c r="K119" s="4">
        <v>9.1667188525823867E-2</v>
      </c>
      <c r="L119" s="4">
        <v>0</v>
      </c>
      <c r="M119" s="4">
        <v>9.8522964430116395E-3</v>
      </c>
      <c r="N119" s="4">
        <v>0</v>
      </c>
    </row>
    <row r="120" spans="1:14">
      <c r="A120" s="8">
        <v>39965</v>
      </c>
      <c r="B120" s="4">
        <v>13.9</v>
      </c>
      <c r="C120" s="4">
        <v>7.6</v>
      </c>
      <c r="D120" s="4">
        <v>1.42</v>
      </c>
      <c r="E120" s="4">
        <v>4.24</v>
      </c>
      <c r="F120" s="4">
        <v>5.4</v>
      </c>
      <c r="G120" s="4">
        <v>13.1</v>
      </c>
      <c r="I120" s="4">
        <v>0</v>
      </c>
      <c r="J120" s="4">
        <v>-6.5574005461591636E-3</v>
      </c>
      <c r="K120" s="4">
        <v>3.5846131773135663E-2</v>
      </c>
      <c r="L120" s="4">
        <v>0</v>
      </c>
      <c r="M120" s="4">
        <v>5.7158413839948831E-2</v>
      </c>
      <c r="N120" s="4">
        <v>1.5384918839479456E-2</v>
      </c>
    </row>
    <row r="121" spans="1:14">
      <c r="A121" s="8">
        <v>39966</v>
      </c>
      <c r="B121" s="4">
        <v>13.6</v>
      </c>
      <c r="C121" s="4">
        <v>7.2</v>
      </c>
      <c r="D121" s="4">
        <v>1.4</v>
      </c>
      <c r="E121" s="4">
        <v>4.2</v>
      </c>
      <c r="F121" s="4">
        <v>5.2</v>
      </c>
      <c r="G121" s="4">
        <v>13</v>
      </c>
      <c r="I121" s="4">
        <v>-2.1819047394639839E-2</v>
      </c>
      <c r="J121" s="4">
        <v>-5.4067221270275703E-2</v>
      </c>
      <c r="K121" s="4">
        <v>-1.4184634991956413E-2</v>
      </c>
      <c r="L121" s="4">
        <v>-9.47874395454377E-3</v>
      </c>
      <c r="M121" s="4">
        <v>-3.7740327982847086E-2</v>
      </c>
      <c r="N121" s="4">
        <v>-7.6628727455691371E-3</v>
      </c>
    </row>
    <row r="122" spans="1:14">
      <c r="A122" s="8">
        <v>39967</v>
      </c>
      <c r="B122" s="4">
        <v>13.7</v>
      </c>
      <c r="C122" s="4">
        <v>7.4</v>
      </c>
      <c r="D122" s="4">
        <v>1.4</v>
      </c>
      <c r="E122" s="4">
        <v>4.22</v>
      </c>
      <c r="F122" s="4">
        <v>6.15</v>
      </c>
      <c r="G122" s="4">
        <v>13.2</v>
      </c>
      <c r="I122" s="4">
        <v>7.3260400920728812E-3</v>
      </c>
      <c r="J122" s="4">
        <v>2.7398974188114562E-2</v>
      </c>
      <c r="K122" s="4">
        <v>0</v>
      </c>
      <c r="L122" s="4">
        <v>4.7506027585977988E-3</v>
      </c>
      <c r="M122" s="4">
        <v>0.16779345623104486</v>
      </c>
      <c r="N122" s="4">
        <v>1.5267472130788381E-2</v>
      </c>
    </row>
    <row r="123" spans="1:14">
      <c r="A123" s="8">
        <v>39968</v>
      </c>
      <c r="B123" s="4">
        <v>14.2</v>
      </c>
      <c r="C123" s="4">
        <v>7.75</v>
      </c>
      <c r="D123" s="4">
        <v>1.41</v>
      </c>
      <c r="E123" s="4">
        <v>4.28</v>
      </c>
      <c r="F123" s="4">
        <v>6.55</v>
      </c>
      <c r="G123" s="4">
        <v>13.7</v>
      </c>
      <c r="I123" s="4">
        <v>3.5846131773135878E-2</v>
      </c>
      <c r="J123" s="4">
        <v>4.6212843155131411E-2</v>
      </c>
      <c r="K123" s="4">
        <v>7.1174677688639549E-3</v>
      </c>
      <c r="L123" s="4">
        <v>1.4117881545785022E-2</v>
      </c>
      <c r="M123" s="4">
        <v>6.301296782873396E-2</v>
      </c>
      <c r="N123" s="4">
        <v>3.7179003241754029E-2</v>
      </c>
    </row>
    <row r="124" spans="1:14">
      <c r="A124" s="8">
        <v>39969</v>
      </c>
      <c r="B124" s="4">
        <v>14.7</v>
      </c>
      <c r="C124" s="4">
        <v>7.6</v>
      </c>
      <c r="D124" s="4">
        <v>1.45</v>
      </c>
      <c r="E124" s="4">
        <v>4.38</v>
      </c>
      <c r="F124" s="4">
        <v>6.45</v>
      </c>
      <c r="G124" s="4">
        <v>13.7</v>
      </c>
      <c r="I124" s="4">
        <v>3.4605529177475523E-2</v>
      </c>
      <c r="J124" s="4">
        <v>-1.9544596072970283E-2</v>
      </c>
      <c r="K124" s="4">
        <v>2.7973852042406162E-2</v>
      </c>
      <c r="L124" s="4">
        <v>2.3095714794649176E-2</v>
      </c>
      <c r="M124" s="4">
        <v>-1.5384918839479343E-2</v>
      </c>
      <c r="N124" s="4">
        <v>0</v>
      </c>
    </row>
    <row r="125" spans="1:14">
      <c r="A125" s="8">
        <v>39972</v>
      </c>
      <c r="B125" s="4">
        <v>14.1</v>
      </c>
      <c r="C125" s="4">
        <v>7.5</v>
      </c>
      <c r="D125" s="4">
        <v>1.44</v>
      </c>
      <c r="E125" s="4">
        <v>4.78</v>
      </c>
      <c r="F125" s="4">
        <v>6.2</v>
      </c>
      <c r="G125" s="4">
        <v>13.4</v>
      </c>
      <c r="I125" s="4">
        <v>-4.1672696400567956E-2</v>
      </c>
      <c r="J125" s="4">
        <v>-1.3245226750020567E-2</v>
      </c>
      <c r="K125" s="4">
        <v>-6.9204428445737952E-3</v>
      </c>
      <c r="L125" s="4">
        <v>8.7391822115009843E-2</v>
      </c>
      <c r="M125" s="4">
        <v>-3.9530838756635205E-2</v>
      </c>
      <c r="N125" s="4">
        <v>-2.2141125877213518E-2</v>
      </c>
    </row>
    <row r="126" spans="1:14">
      <c r="A126" s="8">
        <v>39973</v>
      </c>
      <c r="B126" s="4">
        <v>14.4</v>
      </c>
      <c r="C126" s="4">
        <v>7.6</v>
      </c>
      <c r="D126" s="4">
        <v>1.46</v>
      </c>
      <c r="E126" s="4">
        <v>4.82</v>
      </c>
      <c r="F126" s="4">
        <v>6.35</v>
      </c>
      <c r="G126" s="4">
        <v>13.7</v>
      </c>
      <c r="I126" s="4">
        <v>2.1053409197832482E-2</v>
      </c>
      <c r="J126" s="4">
        <v>1.3245226750020505E-2</v>
      </c>
      <c r="K126" s="4">
        <v>1.3793322132335769E-2</v>
      </c>
      <c r="L126" s="4">
        <v>8.3333815591442404E-3</v>
      </c>
      <c r="M126" s="4">
        <v>2.3905520853554386E-2</v>
      </c>
      <c r="N126" s="4">
        <v>2.2141125877213501E-2</v>
      </c>
    </row>
    <row r="127" spans="1:14">
      <c r="A127" s="8">
        <v>39974</v>
      </c>
      <c r="B127" s="4">
        <v>14.7</v>
      </c>
      <c r="C127" s="4">
        <v>8</v>
      </c>
      <c r="D127" s="4">
        <v>1.54</v>
      </c>
      <c r="E127" s="4">
        <v>4.76</v>
      </c>
      <c r="F127" s="4">
        <v>6.35</v>
      </c>
      <c r="G127" s="4">
        <v>13.8</v>
      </c>
      <c r="I127" s="4">
        <v>2.061928720273561E-2</v>
      </c>
      <c r="J127" s="4">
        <v>5.1293294387550481E-2</v>
      </c>
      <c r="K127" s="4">
        <v>5.3345980705292714E-2</v>
      </c>
      <c r="L127" s="4">
        <v>-1.2526259819180369E-2</v>
      </c>
      <c r="M127" s="4">
        <v>0</v>
      </c>
      <c r="N127" s="4">
        <v>7.2727593290798781E-3</v>
      </c>
    </row>
    <row r="128" spans="1:14">
      <c r="A128" s="8">
        <v>39975</v>
      </c>
      <c r="B128" s="4">
        <v>14.6</v>
      </c>
      <c r="C128" s="4">
        <v>8.6</v>
      </c>
      <c r="D128" s="4">
        <v>1.52</v>
      </c>
      <c r="E128" s="4">
        <v>4.72</v>
      </c>
      <c r="F128" s="4">
        <v>6.25</v>
      </c>
      <c r="G128" s="4">
        <v>14.1</v>
      </c>
      <c r="I128" s="4">
        <v>-6.8259650703998706E-3</v>
      </c>
      <c r="J128" s="4">
        <v>7.2320661579626078E-2</v>
      </c>
      <c r="K128" s="4">
        <v>-1.3072081567352775E-2</v>
      </c>
      <c r="L128" s="4">
        <v>-8.4388686458645949E-3</v>
      </c>
      <c r="M128" s="4">
        <v>-1.5873349156290122E-2</v>
      </c>
      <c r="N128" s="4">
        <v>2.1506205220963463E-2</v>
      </c>
    </row>
    <row r="129" spans="1:14">
      <c r="A129" s="8">
        <v>39976</v>
      </c>
      <c r="B129" s="4">
        <v>14.9</v>
      </c>
      <c r="C129" s="4">
        <v>8.75</v>
      </c>
      <c r="D129" s="4">
        <v>1.56</v>
      </c>
      <c r="E129" s="4">
        <v>4.76</v>
      </c>
      <c r="F129" s="4">
        <v>6.15</v>
      </c>
      <c r="G129" s="4">
        <v>14</v>
      </c>
      <c r="I129" s="4">
        <v>2.0339684237122783E-2</v>
      </c>
      <c r="J129" s="4">
        <v>1.7291497110061043E-2</v>
      </c>
      <c r="K129" s="4">
        <v>2.5975486403260736E-2</v>
      </c>
      <c r="L129" s="4">
        <v>8.4388686458646035E-3</v>
      </c>
      <c r="M129" s="4">
        <v>-1.6129381929883529E-2</v>
      </c>
      <c r="N129" s="4">
        <v>-7.1174677688639896E-3</v>
      </c>
    </row>
    <row r="130" spans="1:14">
      <c r="A130" s="8">
        <v>39979</v>
      </c>
      <c r="B130" s="4">
        <v>14.4</v>
      </c>
      <c r="C130" s="4">
        <v>8.6</v>
      </c>
      <c r="D130" s="4">
        <v>1.53</v>
      </c>
      <c r="E130" s="4">
        <v>4.72</v>
      </c>
      <c r="F130" s="4">
        <v>5.75</v>
      </c>
      <c r="G130" s="4">
        <v>13.5</v>
      </c>
      <c r="I130" s="4">
        <v>-3.4133006369458471E-2</v>
      </c>
      <c r="J130" s="4">
        <v>-1.7291497110061109E-2</v>
      </c>
      <c r="K130" s="4">
        <v>-1.9418085857101627E-2</v>
      </c>
      <c r="L130" s="4">
        <v>-8.4388686458645949E-3</v>
      </c>
      <c r="M130" s="4">
        <v>-6.7252227009167456E-2</v>
      </c>
      <c r="N130" s="4">
        <v>-3.6367644170874833E-2</v>
      </c>
    </row>
    <row r="131" spans="1:14">
      <c r="A131" s="8">
        <v>39980</v>
      </c>
      <c r="B131" s="4">
        <v>14.5</v>
      </c>
      <c r="C131" s="4">
        <v>8.15</v>
      </c>
      <c r="D131" s="4">
        <v>1.44</v>
      </c>
      <c r="E131" s="4">
        <v>4.5</v>
      </c>
      <c r="F131" s="4">
        <v>5.5</v>
      </c>
      <c r="G131" s="4">
        <v>13.1</v>
      </c>
      <c r="I131" s="4">
        <v>6.920442844573757E-3</v>
      </c>
      <c r="J131" s="4">
        <v>-5.3744276006690572E-2</v>
      </c>
      <c r="K131" s="4">
        <v>-6.0624621816434854E-2</v>
      </c>
      <c r="L131" s="4">
        <v>-4.7731402821189921E-2</v>
      </c>
      <c r="M131" s="4">
        <v>-4.445176257083381E-2</v>
      </c>
      <c r="N131" s="4">
        <v>-3.007745523727795E-2</v>
      </c>
    </row>
    <row r="132" spans="1:14">
      <c r="A132" s="8">
        <v>39981</v>
      </c>
      <c r="B132" s="4">
        <v>14.4</v>
      </c>
      <c r="C132" s="4">
        <v>8.5500000000000007</v>
      </c>
      <c r="D132" s="4">
        <v>1.41</v>
      </c>
      <c r="E132" s="4">
        <v>4.5999999999999996</v>
      </c>
      <c r="F132" s="4">
        <v>5.8</v>
      </c>
      <c r="G132" s="4">
        <v>13.4</v>
      </c>
      <c r="I132" s="4">
        <v>-6.9204428445737952E-3</v>
      </c>
      <c r="J132" s="4">
        <v>4.7913355695897449E-2</v>
      </c>
      <c r="K132" s="4">
        <v>-2.1053409197832381E-2</v>
      </c>
      <c r="L132" s="4">
        <v>2.1978906718775167E-2</v>
      </c>
      <c r="M132" s="4">
        <v>5.3109825313948332E-2</v>
      </c>
      <c r="N132" s="4">
        <v>2.2642476749759971E-2</v>
      </c>
    </row>
    <row r="133" spans="1:14">
      <c r="A133" s="8">
        <v>39982</v>
      </c>
      <c r="B133" s="4">
        <v>13.9</v>
      </c>
      <c r="C133" s="4">
        <v>8.35</v>
      </c>
      <c r="D133" s="4">
        <v>1.39</v>
      </c>
      <c r="E133" s="4">
        <v>4.5199999999999996</v>
      </c>
      <c r="F133" s="4">
        <v>5.55</v>
      </c>
      <c r="G133" s="4">
        <v>13.2</v>
      </c>
      <c r="I133" s="4">
        <v>-3.5339366445308849E-2</v>
      </c>
      <c r="J133" s="4">
        <v>-2.3669744085904849E-2</v>
      </c>
      <c r="K133" s="4">
        <v>-1.4285957247476541E-2</v>
      </c>
      <c r="L133" s="4">
        <v>-1.7544309650909508E-2</v>
      </c>
      <c r="M133" s="4">
        <v>-4.4059989794030543E-2</v>
      </c>
      <c r="N133" s="4">
        <v>-1.5037877364540559E-2</v>
      </c>
    </row>
    <row r="134" spans="1:14">
      <c r="A134" s="8">
        <v>39983</v>
      </c>
      <c r="B134" s="4">
        <v>14.7</v>
      </c>
      <c r="C134" s="4">
        <v>8.75</v>
      </c>
      <c r="D134" s="4">
        <v>1.45</v>
      </c>
      <c r="E134" s="4">
        <v>4.7</v>
      </c>
      <c r="F134" s="4">
        <v>5.65</v>
      </c>
      <c r="G134" s="4">
        <v>13.3</v>
      </c>
      <c r="I134" s="4">
        <v>5.5958653648044414E-2</v>
      </c>
      <c r="J134" s="4">
        <v>4.6792161506758884E-2</v>
      </c>
      <c r="K134" s="4">
        <v>4.2259809289882599E-2</v>
      </c>
      <c r="L134" s="4">
        <v>3.9050514871873249E-2</v>
      </c>
      <c r="M134" s="4">
        <v>1.7857617400006472E-2</v>
      </c>
      <c r="N134" s="4">
        <v>7.5472056353831241E-3</v>
      </c>
    </row>
    <row r="135" spans="1:14">
      <c r="A135" s="8">
        <v>39986</v>
      </c>
      <c r="B135" s="4">
        <v>14.8</v>
      </c>
      <c r="C135" s="4">
        <v>9</v>
      </c>
      <c r="D135" s="4">
        <v>1.44</v>
      </c>
      <c r="E135" s="4">
        <v>4.72</v>
      </c>
      <c r="F135" s="4">
        <v>5.5</v>
      </c>
      <c r="G135" s="4">
        <v>13.4</v>
      </c>
      <c r="I135" s="4">
        <v>6.7796869853787691E-3</v>
      </c>
      <c r="J135" s="4">
        <v>2.8170876966696224E-2</v>
      </c>
      <c r="K135" s="4">
        <v>-6.9204428445737952E-3</v>
      </c>
      <c r="L135" s="4">
        <v>4.246290881451004E-3</v>
      </c>
      <c r="M135" s="4">
        <v>-2.6907452919924382E-2</v>
      </c>
      <c r="N135" s="4">
        <v>7.4906717291576587E-3</v>
      </c>
    </row>
    <row r="136" spans="1:14">
      <c r="A136" s="8">
        <v>39987</v>
      </c>
      <c r="B136" s="4">
        <v>14.5</v>
      </c>
      <c r="C136" s="4">
        <v>8.6</v>
      </c>
      <c r="D136" s="4">
        <v>1.39</v>
      </c>
      <c r="E136" s="4">
        <v>4.62</v>
      </c>
      <c r="F136" s="4">
        <v>5.25</v>
      </c>
      <c r="G136" s="4">
        <v>13.2</v>
      </c>
      <c r="I136" s="4">
        <v>-2.0478531343540676E-2</v>
      </c>
      <c r="J136" s="4">
        <v>-4.5462374076757399E-2</v>
      </c>
      <c r="K136" s="4">
        <v>-3.5339366445308849E-2</v>
      </c>
      <c r="L136" s="4">
        <v>-2.1414094503816473E-2</v>
      </c>
      <c r="M136" s="4">
        <v>-4.6520015634892817E-2</v>
      </c>
      <c r="N136" s="4">
        <v>-1.5037877364540559E-2</v>
      </c>
    </row>
    <row r="137" spans="1:14">
      <c r="A137" s="8">
        <v>39988</v>
      </c>
      <c r="B137" s="4">
        <v>14.6</v>
      </c>
      <c r="C137" s="4">
        <v>8.6999999999999993</v>
      </c>
      <c r="D137" s="4">
        <v>1.45</v>
      </c>
      <c r="E137" s="4">
        <v>4.68</v>
      </c>
      <c r="F137" s="4">
        <v>5.35</v>
      </c>
      <c r="G137" s="4">
        <v>13.3</v>
      </c>
      <c r="I137" s="4">
        <v>6.8728792877620504E-3</v>
      </c>
      <c r="J137" s="4">
        <v>1.1560822401076006E-2</v>
      </c>
      <c r="K137" s="4">
        <v>4.2259809289882599E-2</v>
      </c>
      <c r="L137" s="4">
        <v>1.2903404835907782E-2</v>
      </c>
      <c r="M137" s="4">
        <v>1.8868484304382736E-2</v>
      </c>
      <c r="N137" s="4">
        <v>7.5472056353831241E-3</v>
      </c>
    </row>
    <row r="138" spans="1:14">
      <c r="A138" s="8">
        <v>39989</v>
      </c>
      <c r="B138" s="4">
        <v>14.4</v>
      </c>
      <c r="C138" s="4">
        <v>8.6999999999999993</v>
      </c>
      <c r="D138" s="4">
        <v>1.5</v>
      </c>
      <c r="E138" s="4">
        <v>4.7</v>
      </c>
      <c r="F138" s="4">
        <v>5.55</v>
      </c>
      <c r="G138" s="4">
        <v>13.4</v>
      </c>
      <c r="I138" s="4">
        <v>-1.3793322132335761E-2</v>
      </c>
      <c r="J138" s="4">
        <v>0</v>
      </c>
      <c r="K138" s="4">
        <v>3.3901551675681416E-2</v>
      </c>
      <c r="L138" s="4">
        <v>4.2643987864577392E-3</v>
      </c>
      <c r="M138" s="4">
        <v>3.6701366850427963E-2</v>
      </c>
      <c r="N138" s="4">
        <v>7.4906717291576587E-3</v>
      </c>
    </row>
    <row r="139" spans="1:14">
      <c r="A139" s="8">
        <v>39990</v>
      </c>
      <c r="B139" s="4">
        <v>14.5</v>
      </c>
      <c r="C139" s="4">
        <v>8.4499999999999993</v>
      </c>
      <c r="D139" s="4">
        <v>1.49</v>
      </c>
      <c r="E139" s="4">
        <v>4.68</v>
      </c>
      <c r="F139" s="4">
        <v>5.5</v>
      </c>
      <c r="G139" s="4">
        <v>13.3</v>
      </c>
      <c r="I139" s="4">
        <v>6.920442844573757E-3</v>
      </c>
      <c r="J139" s="4">
        <v>-2.9156584291455578E-2</v>
      </c>
      <c r="K139" s="4">
        <v>-6.688988150796652E-3</v>
      </c>
      <c r="L139" s="4">
        <v>-4.2643987864576507E-3</v>
      </c>
      <c r="M139" s="4">
        <v>-9.0498355199179273E-3</v>
      </c>
      <c r="N139" s="4">
        <v>-7.4906717291576257E-3</v>
      </c>
    </row>
    <row r="140" spans="1:14">
      <c r="A140" s="8">
        <v>39993</v>
      </c>
      <c r="B140" s="4">
        <v>16.899999999999999</v>
      </c>
      <c r="C140" s="4">
        <v>8.6</v>
      </c>
      <c r="D140" s="4">
        <v>1.49</v>
      </c>
      <c r="E140" s="4">
        <v>4.76</v>
      </c>
      <c r="F140" s="4">
        <v>5.65</v>
      </c>
      <c r="G140" s="4">
        <v>14</v>
      </c>
      <c r="I140" s="4">
        <v>0.15316497250249897</v>
      </c>
      <c r="J140" s="4">
        <v>1.759576189037966E-2</v>
      </c>
      <c r="K140" s="4">
        <v>0</v>
      </c>
      <c r="L140" s="4">
        <v>1.6949558313773205E-2</v>
      </c>
      <c r="M140" s="4">
        <v>2.6907452919924402E-2</v>
      </c>
      <c r="N140" s="4">
        <v>5.1293294387550481E-2</v>
      </c>
    </row>
    <row r="141" spans="1:14">
      <c r="A141" s="8">
        <v>39994</v>
      </c>
      <c r="B141" s="4">
        <v>16.3</v>
      </c>
      <c r="C141" s="4">
        <v>8.4</v>
      </c>
      <c r="D141" s="4">
        <v>1.44</v>
      </c>
      <c r="E141" s="4">
        <v>4.78</v>
      </c>
      <c r="F141" s="4">
        <v>5.6</v>
      </c>
      <c r="G141" s="4">
        <v>13.7</v>
      </c>
      <c r="I141" s="4">
        <v>-3.6148514116310981E-2</v>
      </c>
      <c r="J141" s="4">
        <v>-2.3530497410194046E-2</v>
      </c>
      <c r="K141" s="4">
        <v>-3.4133006369458582E-2</v>
      </c>
      <c r="L141" s="4">
        <v>4.1928782600361781E-3</v>
      </c>
      <c r="M141" s="4">
        <v>-8.888947417246152E-3</v>
      </c>
      <c r="N141" s="4">
        <v>-2.1661496781179419E-2</v>
      </c>
    </row>
    <row r="142" spans="1:14">
      <c r="A142" s="8">
        <v>39996</v>
      </c>
      <c r="B142" s="4">
        <v>15.8</v>
      </c>
      <c r="C142" s="4">
        <v>8.1999999999999993</v>
      </c>
      <c r="D142" s="4">
        <v>1.41</v>
      </c>
      <c r="E142" s="4">
        <v>4.8</v>
      </c>
      <c r="F142" s="4">
        <v>6.3</v>
      </c>
      <c r="G142" s="4">
        <v>13.3</v>
      </c>
      <c r="I142" s="4">
        <v>-3.1155167779795576E-2</v>
      </c>
      <c r="J142" s="4">
        <v>-2.4097551579060641E-2</v>
      </c>
      <c r="K142" s="4">
        <v>-2.1053409197832381E-2</v>
      </c>
      <c r="L142" s="4">
        <v>4.175371410480592E-3</v>
      </c>
      <c r="M142" s="4">
        <v>0.11778303565638346</v>
      </c>
      <c r="N142" s="4">
        <v>-2.9631797606371E-2</v>
      </c>
    </row>
    <row r="143" spans="1:14">
      <c r="A143" s="8">
        <v>39997</v>
      </c>
      <c r="B143" s="4">
        <v>16.2</v>
      </c>
      <c r="C143" s="4">
        <v>8.15</v>
      </c>
      <c r="D143" s="4">
        <v>1.41</v>
      </c>
      <c r="E143" s="4">
        <v>4.78</v>
      </c>
      <c r="F143" s="4">
        <v>6.2</v>
      </c>
      <c r="G143" s="4">
        <v>13.3</v>
      </c>
      <c r="I143" s="4">
        <v>2.5001302205417186E-2</v>
      </c>
      <c r="J143" s="4">
        <v>-6.1162270174359825E-3</v>
      </c>
      <c r="K143" s="4">
        <v>0</v>
      </c>
      <c r="L143" s="4">
        <v>-4.1753714104805105E-3</v>
      </c>
      <c r="M143" s="4">
        <v>-1.6000341346441075E-2</v>
      </c>
      <c r="N143" s="4">
        <v>0</v>
      </c>
    </row>
    <row r="144" spans="1:14">
      <c r="A144" s="8">
        <v>40002</v>
      </c>
      <c r="B144" s="4">
        <v>17</v>
      </c>
      <c r="C144" s="4">
        <v>8.1</v>
      </c>
      <c r="D144" s="4">
        <v>1.37</v>
      </c>
      <c r="E144" s="4">
        <v>4.76</v>
      </c>
      <c r="F144" s="4">
        <v>5.75</v>
      </c>
      <c r="G144" s="4">
        <v>13.5</v>
      </c>
      <c r="I144" s="4">
        <v>4.8202101817877686E-2</v>
      </c>
      <c r="J144" s="4">
        <v>-6.1538655743783354E-3</v>
      </c>
      <c r="K144" s="4">
        <v>-2.8778964550043175E-2</v>
      </c>
      <c r="L144" s="4">
        <v>-4.1928782600360393E-3</v>
      </c>
      <c r="M144" s="4">
        <v>-7.5349437241786846E-2</v>
      </c>
      <c r="N144" s="4">
        <v>1.4925650216675574E-2</v>
      </c>
    </row>
    <row r="145" spans="1:14">
      <c r="A145" s="8">
        <v>40003</v>
      </c>
      <c r="B145" s="4">
        <v>16.8</v>
      </c>
      <c r="C145" s="4">
        <v>8.5</v>
      </c>
      <c r="D145" s="4">
        <v>1.44</v>
      </c>
      <c r="E145" s="4">
        <v>4.82</v>
      </c>
      <c r="F145" s="4">
        <v>5.95</v>
      </c>
      <c r="G145" s="4">
        <v>13.5</v>
      </c>
      <c r="I145" s="4">
        <v>-1.1834457647002796E-2</v>
      </c>
      <c r="J145" s="4">
        <v>4.8202101817877686E-2</v>
      </c>
      <c r="K145" s="4">
        <v>4.9832373747875539E-2</v>
      </c>
      <c r="L145" s="4">
        <v>1.2526259819180477E-2</v>
      </c>
      <c r="M145" s="4">
        <v>3.4191364748279343E-2</v>
      </c>
      <c r="N145" s="4">
        <v>0</v>
      </c>
    </row>
    <row r="146" spans="1:14">
      <c r="A146" s="8">
        <v>40004</v>
      </c>
      <c r="B146" s="4">
        <v>17.100000000000001</v>
      </c>
      <c r="C146" s="4">
        <v>8.4499999999999993</v>
      </c>
      <c r="D146" s="4">
        <v>1.4</v>
      </c>
      <c r="E146" s="4">
        <v>4.8</v>
      </c>
      <c r="F146" s="4">
        <v>5.55</v>
      </c>
      <c r="G146" s="4">
        <v>13.1</v>
      </c>
      <c r="I146" s="4">
        <v>1.7699577099400857E-2</v>
      </c>
      <c r="J146" s="4">
        <v>-5.8997221271883827E-3</v>
      </c>
      <c r="K146" s="4">
        <v>-2.8170876966696335E-2</v>
      </c>
      <c r="L146" s="4">
        <v>-4.1580101486637881E-3</v>
      </c>
      <c r="M146" s="4">
        <v>-6.959329179919535E-2</v>
      </c>
      <c r="N146" s="4">
        <v>-3.007745523727795E-2</v>
      </c>
    </row>
    <row r="147" spans="1:14">
      <c r="A147" s="8">
        <v>40007</v>
      </c>
      <c r="B147" s="4">
        <v>16.7</v>
      </c>
      <c r="C147" s="4">
        <v>8.25</v>
      </c>
      <c r="D147" s="4">
        <v>1.39</v>
      </c>
      <c r="E147" s="4">
        <v>4.72</v>
      </c>
      <c r="F147" s="4">
        <v>5.45</v>
      </c>
      <c r="G147" s="4">
        <v>12.7</v>
      </c>
      <c r="I147" s="4">
        <v>-2.3669744085904849E-2</v>
      </c>
      <c r="J147" s="4">
        <v>-2.3953241022492758E-2</v>
      </c>
      <c r="K147" s="4">
        <v>-7.168489478612516E-3</v>
      </c>
      <c r="L147" s="4">
        <v>-1.6807118316381289E-2</v>
      </c>
      <c r="M147" s="4">
        <v>-1.818231908319036E-2</v>
      </c>
      <c r="N147" s="4">
        <v>-3.1010236742560322E-2</v>
      </c>
    </row>
    <row r="148" spans="1:14">
      <c r="A148" s="8">
        <v>40008</v>
      </c>
      <c r="B148" s="4">
        <v>16.899999999999999</v>
      </c>
      <c r="C148" s="4">
        <v>8.4499999999999993</v>
      </c>
      <c r="D148" s="4">
        <v>1.48</v>
      </c>
      <c r="E148" s="4">
        <v>4.76</v>
      </c>
      <c r="F148" s="4">
        <v>5.65</v>
      </c>
      <c r="G148" s="4">
        <v>13</v>
      </c>
      <c r="I148" s="4">
        <v>1.1904902506318239E-2</v>
      </c>
      <c r="J148" s="4">
        <v>2.3953241022492796E-2</v>
      </c>
      <c r="K148" s="4">
        <v>6.2738340633423345E-2</v>
      </c>
      <c r="L148" s="4">
        <v>8.4388686458646035E-3</v>
      </c>
      <c r="M148" s="4">
        <v>3.6039936483196873E-2</v>
      </c>
      <c r="N148" s="4">
        <v>2.3347363996991107E-2</v>
      </c>
    </row>
    <row r="149" spans="1:14">
      <c r="A149" s="8">
        <v>40009</v>
      </c>
      <c r="B149" s="4">
        <v>16.899999999999999</v>
      </c>
      <c r="C149" s="4">
        <v>8.6</v>
      </c>
      <c r="D149" s="4">
        <v>1.48</v>
      </c>
      <c r="E149" s="4">
        <v>4.8</v>
      </c>
      <c r="F149" s="4">
        <v>5.8</v>
      </c>
      <c r="G149" s="4">
        <v>13.2</v>
      </c>
      <c r="I149" s="4">
        <v>0</v>
      </c>
      <c r="J149" s="4">
        <v>1.759576189037966E-2</v>
      </c>
      <c r="K149" s="4">
        <v>0</v>
      </c>
      <c r="L149" s="4">
        <v>8.3682496705165792E-3</v>
      </c>
      <c r="M149" s="4">
        <v>2.6202372394023902E-2</v>
      </c>
      <c r="N149" s="4">
        <v>1.5267472130788381E-2</v>
      </c>
    </row>
    <row r="150" spans="1:14">
      <c r="A150" s="8">
        <v>40010</v>
      </c>
      <c r="B150" s="4">
        <v>16.899999999999999</v>
      </c>
      <c r="C150" s="4">
        <v>8.65</v>
      </c>
      <c r="D150" s="4">
        <v>1.46</v>
      </c>
      <c r="E150" s="4">
        <v>4.8</v>
      </c>
      <c r="F150" s="4">
        <v>5.6</v>
      </c>
      <c r="G150" s="4">
        <v>13.1</v>
      </c>
      <c r="I150" s="4">
        <v>0</v>
      </c>
      <c r="J150" s="4">
        <v>5.7971176843259146E-3</v>
      </c>
      <c r="K150" s="4">
        <v>-1.3605652055778598E-2</v>
      </c>
      <c r="L150" s="4">
        <v>0</v>
      </c>
      <c r="M150" s="4">
        <v>-3.5091319811270172E-2</v>
      </c>
      <c r="N150" s="4">
        <v>-7.6045993852193036E-3</v>
      </c>
    </row>
    <row r="151" spans="1:14">
      <c r="A151" s="8">
        <v>40011</v>
      </c>
      <c r="B151" s="4">
        <v>17.7</v>
      </c>
      <c r="C151" s="4">
        <v>8.9</v>
      </c>
      <c r="D151" s="4">
        <v>1.51</v>
      </c>
      <c r="E151" s="4">
        <v>4.82</v>
      </c>
      <c r="F151" s="4">
        <v>5.85</v>
      </c>
      <c r="G151" s="4">
        <v>13.4</v>
      </c>
      <c r="I151" s="4">
        <v>4.6251017650755691E-2</v>
      </c>
      <c r="J151" s="4">
        <v>2.8491955794306242E-2</v>
      </c>
      <c r="K151" s="4">
        <v>3.3673215106588023E-2</v>
      </c>
      <c r="L151" s="4">
        <v>4.1580101486638982E-3</v>
      </c>
      <c r="M151" s="4">
        <v>4.3675063502661635E-2</v>
      </c>
      <c r="N151" s="4">
        <v>2.2642476749759971E-2</v>
      </c>
    </row>
    <row r="152" spans="1:14">
      <c r="A152" s="8">
        <v>40014</v>
      </c>
      <c r="B152" s="4">
        <v>17.7</v>
      </c>
      <c r="C152" s="4">
        <v>9.3000000000000007</v>
      </c>
      <c r="D152" s="4">
        <v>1.59</v>
      </c>
      <c r="E152" s="4">
        <v>4.9000000000000004</v>
      </c>
      <c r="F152" s="4">
        <v>5.95</v>
      </c>
      <c r="G152" s="4">
        <v>13.5</v>
      </c>
      <c r="I152" s="4">
        <v>0</v>
      </c>
      <c r="J152" s="4">
        <v>4.3963123421116204E-2</v>
      </c>
      <c r="K152" s="4">
        <v>5.1624365405307245E-2</v>
      </c>
      <c r="L152" s="4">
        <v>1.6461277054071931E-2</v>
      </c>
      <c r="M152" s="4">
        <v>1.6949558313773424E-2</v>
      </c>
      <c r="N152" s="4">
        <v>7.4349784875179905E-3</v>
      </c>
    </row>
    <row r="153" spans="1:14">
      <c r="A153" s="8">
        <v>40015</v>
      </c>
      <c r="B153" s="4">
        <v>17.5</v>
      </c>
      <c r="C153" s="4">
        <v>9.4499999999999993</v>
      </c>
      <c r="D153" s="4">
        <v>1.69</v>
      </c>
      <c r="E153" s="4">
        <v>4.88</v>
      </c>
      <c r="F153" s="4">
        <v>5.85</v>
      </c>
      <c r="G153" s="4">
        <v>13.7</v>
      </c>
      <c r="I153" s="4">
        <v>-1.1363758650315095E-2</v>
      </c>
      <c r="J153" s="4">
        <v>1.6000341346440902E-2</v>
      </c>
      <c r="K153" s="4">
        <v>6.0994512702841931E-2</v>
      </c>
      <c r="L153" s="4">
        <v>-4.0899852515251661E-3</v>
      </c>
      <c r="M153" s="4">
        <v>-1.694955831377332E-2</v>
      </c>
      <c r="N153" s="4">
        <v>1.4706147389695487E-2</v>
      </c>
    </row>
    <row r="154" spans="1:14">
      <c r="A154" s="8">
        <v>40016</v>
      </c>
      <c r="B154" s="4">
        <v>17.3</v>
      </c>
      <c r="C154" s="4">
        <v>9.5500000000000007</v>
      </c>
      <c r="D154" s="4">
        <v>1.62</v>
      </c>
      <c r="E154" s="4">
        <v>4.8</v>
      </c>
      <c r="F154" s="4">
        <v>6.05</v>
      </c>
      <c r="G154" s="4">
        <v>13.4</v>
      </c>
      <c r="I154" s="4">
        <v>-1.1494379425735021E-2</v>
      </c>
      <c r="J154" s="4">
        <v>1.0526412986987603E-2</v>
      </c>
      <c r="K154" s="4">
        <v>-4.2302379690689271E-2</v>
      </c>
      <c r="L154" s="4">
        <v>-1.6529301951210582E-2</v>
      </c>
      <c r="M154" s="4">
        <v>3.3616610798985064E-2</v>
      </c>
      <c r="N154" s="4">
        <v>-2.2141125877213518E-2</v>
      </c>
    </row>
    <row r="155" spans="1:14">
      <c r="A155" s="8">
        <v>40017</v>
      </c>
      <c r="B155" s="4">
        <v>17.600000000000001</v>
      </c>
      <c r="C155" s="4">
        <v>9.4499999999999993</v>
      </c>
      <c r="D155" s="4">
        <v>1.68</v>
      </c>
      <c r="E155" s="4">
        <v>4.84</v>
      </c>
      <c r="F155" s="4">
        <v>6.35</v>
      </c>
      <c r="G155" s="4">
        <v>13.8</v>
      </c>
      <c r="I155" s="4">
        <v>1.7192400540372771E-2</v>
      </c>
      <c r="J155" s="4">
        <v>-1.0526412986987617E-2</v>
      </c>
      <c r="K155" s="4">
        <v>3.6367644170874791E-2</v>
      </c>
      <c r="L155" s="4">
        <v>8.2988028146950641E-3</v>
      </c>
      <c r="M155" s="4">
        <v>4.8396540861850239E-2</v>
      </c>
      <c r="N155" s="4">
        <v>2.9413885206293407E-2</v>
      </c>
    </row>
    <row r="156" spans="1:14">
      <c r="A156" s="8">
        <v>40018</v>
      </c>
      <c r="B156" s="4">
        <v>17.8</v>
      </c>
      <c r="C156" s="4">
        <v>9.85</v>
      </c>
      <c r="D156" s="4">
        <v>1.7</v>
      </c>
      <c r="E156" s="4">
        <v>4.8600000000000003</v>
      </c>
      <c r="F156" s="4">
        <v>6.5</v>
      </c>
      <c r="G156" s="4">
        <v>13.7</v>
      </c>
      <c r="I156" s="4">
        <v>1.1299555253933247E-2</v>
      </c>
      <c r="J156" s="4">
        <v>4.1456713678346128E-2</v>
      </c>
      <c r="K156" s="4">
        <v>1.1834457647002798E-2</v>
      </c>
      <c r="L156" s="4">
        <v>4.1237171838621562E-3</v>
      </c>
      <c r="M156" s="4">
        <v>2.3347363996991107E-2</v>
      </c>
      <c r="N156" s="4">
        <v>-7.2727593290799206E-3</v>
      </c>
    </row>
    <row r="157" spans="1:14">
      <c r="A157" s="8">
        <v>40021</v>
      </c>
      <c r="B157" s="4">
        <v>18</v>
      </c>
      <c r="C157" s="4">
        <v>10.1</v>
      </c>
      <c r="D157" s="4">
        <v>1.67</v>
      </c>
      <c r="E157" s="4">
        <v>4.88</v>
      </c>
      <c r="F157" s="4">
        <v>6.85</v>
      </c>
      <c r="G157" s="4">
        <v>13.7</v>
      </c>
      <c r="I157" s="4">
        <v>1.1173300598125255E-2</v>
      </c>
      <c r="J157" s="4">
        <v>2.506396866321622E-2</v>
      </c>
      <c r="K157" s="4">
        <v>-1.7804624633506707E-2</v>
      </c>
      <c r="L157" s="4">
        <v>4.1067819526532812E-3</v>
      </c>
      <c r="M157" s="4">
        <v>5.2446475372542524E-2</v>
      </c>
      <c r="N157" s="4">
        <v>0</v>
      </c>
    </row>
    <row r="158" spans="1:14">
      <c r="A158" s="8">
        <v>40022</v>
      </c>
      <c r="B158" s="4">
        <v>17.899999999999999</v>
      </c>
      <c r="C158" s="4">
        <v>9.8000000000000007</v>
      </c>
      <c r="D158" s="4">
        <v>1.71</v>
      </c>
      <c r="E158" s="4">
        <v>5.0999999999999996</v>
      </c>
      <c r="F158" s="4">
        <v>6.85</v>
      </c>
      <c r="G158" s="4">
        <v>13.7</v>
      </c>
      <c r="I158" s="4">
        <v>-5.571045049455472E-3</v>
      </c>
      <c r="J158" s="4">
        <v>-3.0153038170687443E-2</v>
      </c>
      <c r="K158" s="4">
        <v>2.3669744085904703E-2</v>
      </c>
      <c r="L158" s="4">
        <v>4.4095319865224164E-2</v>
      </c>
      <c r="M158" s="4">
        <v>0</v>
      </c>
      <c r="N158" s="4">
        <v>0</v>
      </c>
    </row>
    <row r="159" spans="1:14">
      <c r="A159" s="8">
        <v>40023</v>
      </c>
      <c r="B159" s="4">
        <v>17.600000000000001</v>
      </c>
      <c r="C159" s="4">
        <v>9.4499999999999993</v>
      </c>
      <c r="D159" s="4">
        <v>1.75</v>
      </c>
      <c r="E159" s="4">
        <v>5.0999999999999996</v>
      </c>
      <c r="F159" s="4">
        <v>6.75</v>
      </c>
      <c r="G159" s="4">
        <v>13.7</v>
      </c>
      <c r="I159" s="4">
        <v>-1.6901810802603025E-2</v>
      </c>
      <c r="J159" s="4">
        <v>-3.6367644170874951E-2</v>
      </c>
      <c r="K159" s="4">
        <v>2.3122417420854212E-2</v>
      </c>
      <c r="L159" s="4">
        <v>0</v>
      </c>
      <c r="M159" s="4">
        <v>-1.4706147389695449E-2</v>
      </c>
      <c r="N159" s="4">
        <v>0</v>
      </c>
    </row>
    <row r="160" spans="1:14">
      <c r="A160" s="8">
        <v>40024</v>
      </c>
      <c r="B160" s="4">
        <v>17.600000000000001</v>
      </c>
      <c r="C160" s="4">
        <v>9.6</v>
      </c>
      <c r="D160" s="4">
        <v>1.85</v>
      </c>
      <c r="E160" s="4">
        <v>5.15</v>
      </c>
      <c r="F160" s="4">
        <v>7.2</v>
      </c>
      <c r="G160" s="4">
        <v>13.8</v>
      </c>
      <c r="I160" s="4">
        <v>0</v>
      </c>
      <c r="J160" s="4">
        <v>1.5748356968139112E-2</v>
      </c>
      <c r="K160" s="4">
        <v>5.5569851154810786E-2</v>
      </c>
      <c r="L160" s="4">
        <v>9.7561749453648743E-3</v>
      </c>
      <c r="M160" s="4">
        <v>6.4538521137571164E-2</v>
      </c>
      <c r="N160" s="4">
        <v>7.2727593290798781E-3</v>
      </c>
    </row>
    <row r="161" spans="1:14">
      <c r="A161" s="8">
        <v>40025</v>
      </c>
      <c r="B161" s="4">
        <v>18</v>
      </c>
      <c r="C161" s="4">
        <v>9.6</v>
      </c>
      <c r="D161" s="4">
        <v>1.79</v>
      </c>
      <c r="E161" s="4">
        <v>5.25</v>
      </c>
      <c r="F161" s="4">
        <v>7.1</v>
      </c>
      <c r="G161" s="4">
        <v>13.8</v>
      </c>
      <c r="I161" s="4">
        <v>2.2472855852058576E-2</v>
      </c>
      <c r="J161" s="4">
        <v>0</v>
      </c>
      <c r="K161" s="4">
        <v>-3.2970019237569828E-2</v>
      </c>
      <c r="L161" s="4">
        <v>1.9231361927887592E-2</v>
      </c>
      <c r="M161" s="4">
        <v>-1.3986241974739952E-2</v>
      </c>
      <c r="N161" s="4">
        <v>0</v>
      </c>
    </row>
    <row r="162" spans="1:14">
      <c r="A162" s="8">
        <v>40028</v>
      </c>
      <c r="B162" s="4">
        <v>18.8</v>
      </c>
      <c r="C162" s="4">
        <v>9.8000000000000007</v>
      </c>
      <c r="D162" s="4">
        <v>1.81</v>
      </c>
      <c r="E162" s="4">
        <v>5.25</v>
      </c>
      <c r="F162" s="4">
        <v>7.35</v>
      </c>
      <c r="G162" s="4">
        <v>14</v>
      </c>
      <c r="I162" s="4">
        <v>4.3485111939738891E-2</v>
      </c>
      <c r="J162" s="4">
        <v>2.0619287202735825E-2</v>
      </c>
      <c r="K162" s="4">
        <v>1.1111225425070849E-2</v>
      </c>
      <c r="L162" s="4">
        <v>0</v>
      </c>
      <c r="M162" s="4">
        <v>3.4605529177475523E-2</v>
      </c>
      <c r="N162" s="4">
        <v>1.4388737452099452E-2</v>
      </c>
    </row>
    <row r="163" spans="1:14">
      <c r="A163" s="8">
        <v>40029</v>
      </c>
      <c r="B163" s="4">
        <v>18.399999999999999</v>
      </c>
      <c r="C163" s="4">
        <v>9.8000000000000007</v>
      </c>
      <c r="D163" s="4">
        <v>1.8</v>
      </c>
      <c r="E163" s="4">
        <v>5.25</v>
      </c>
      <c r="F163" s="4">
        <v>7.1</v>
      </c>
      <c r="G163" s="4">
        <v>13.8</v>
      </c>
      <c r="I163" s="4">
        <v>-2.150620522096373E-2</v>
      </c>
      <c r="J163" s="4">
        <v>0</v>
      </c>
      <c r="K163" s="4">
        <v>-5.5401803756153561E-3</v>
      </c>
      <c r="L163" s="4">
        <v>0</v>
      </c>
      <c r="M163" s="4">
        <v>-3.4605529177475607E-2</v>
      </c>
      <c r="N163" s="4">
        <v>-1.4388737452099556E-2</v>
      </c>
    </row>
    <row r="164" spans="1:14">
      <c r="A164" s="8">
        <v>40030</v>
      </c>
      <c r="B164" s="4">
        <v>18.399999999999999</v>
      </c>
      <c r="C164" s="4">
        <v>9.6999999999999993</v>
      </c>
      <c r="D164" s="4">
        <v>1.78</v>
      </c>
      <c r="E164" s="4">
        <v>5.2</v>
      </c>
      <c r="F164" s="4">
        <v>6.9</v>
      </c>
      <c r="G164" s="4">
        <v>13.6</v>
      </c>
      <c r="I164" s="4">
        <v>0</v>
      </c>
      <c r="J164" s="4">
        <v>-1.0256500167189221E-2</v>
      </c>
      <c r="K164" s="4">
        <v>-1.1173300598125189E-2</v>
      </c>
      <c r="L164" s="4">
        <v>-9.5694510161506725E-3</v>
      </c>
      <c r="M164" s="4">
        <v>-2.8573372444055885E-2</v>
      </c>
      <c r="N164" s="4">
        <v>-1.4598799421152749E-2</v>
      </c>
    </row>
    <row r="165" spans="1:14">
      <c r="A165" s="8">
        <v>40031</v>
      </c>
      <c r="B165" s="4">
        <v>18.5</v>
      </c>
      <c r="C165" s="4">
        <v>9.65</v>
      </c>
      <c r="D165" s="4">
        <v>1.81</v>
      </c>
      <c r="E165" s="4">
        <v>5.45</v>
      </c>
      <c r="F165" s="4">
        <v>7</v>
      </c>
      <c r="G165" s="4">
        <v>13.8</v>
      </c>
      <c r="I165" s="4">
        <v>5.4200674693393345E-3</v>
      </c>
      <c r="J165" s="4">
        <v>-5.1679701584424493E-3</v>
      </c>
      <c r="K165" s="4">
        <v>1.6713480973740532E-2</v>
      </c>
      <c r="L165" s="4">
        <v>4.6956983087771083E-2</v>
      </c>
      <c r="M165" s="4">
        <v>1.4388737452099452E-2</v>
      </c>
      <c r="N165" s="4">
        <v>1.4598799421152851E-2</v>
      </c>
    </row>
    <row r="166" spans="1:14">
      <c r="A166" s="8">
        <v>40032</v>
      </c>
      <c r="B166" s="4">
        <v>19.5</v>
      </c>
      <c r="C166" s="4">
        <v>9.6</v>
      </c>
      <c r="D166" s="4">
        <v>1.79</v>
      </c>
      <c r="E166" s="4">
        <v>5.55</v>
      </c>
      <c r="F166" s="4">
        <v>6.9</v>
      </c>
      <c r="G166" s="4">
        <v>13.8</v>
      </c>
      <c r="I166" s="4">
        <v>5.2643733485421881E-2</v>
      </c>
      <c r="J166" s="4">
        <v>-5.1948168771040228E-3</v>
      </c>
      <c r="K166" s="4">
        <v>-1.1111225425070722E-2</v>
      </c>
      <c r="L166" s="4">
        <v>1.8182319083190328E-2</v>
      </c>
      <c r="M166" s="4">
        <v>-1.4388737452099556E-2</v>
      </c>
      <c r="N166" s="4">
        <v>0</v>
      </c>
    </row>
    <row r="167" spans="1:14">
      <c r="A167" s="8">
        <v>40035</v>
      </c>
      <c r="B167" s="4">
        <v>20.6</v>
      </c>
      <c r="C167" s="4">
        <v>9.75</v>
      </c>
      <c r="D167" s="4">
        <v>1.76</v>
      </c>
      <c r="E167" s="4">
        <v>5.75</v>
      </c>
      <c r="F167" s="4">
        <v>6.85</v>
      </c>
      <c r="G167" s="4">
        <v>13.7</v>
      </c>
      <c r="I167" s="4">
        <v>5.4876610225834302E-2</v>
      </c>
      <c r="J167" s="4">
        <v>1.5504186535965254E-2</v>
      </c>
      <c r="K167" s="4">
        <v>-1.6901810802603254E-2</v>
      </c>
      <c r="L167" s="4">
        <v>3.5401927050916E-2</v>
      </c>
      <c r="M167" s="4">
        <v>-7.2727593290799206E-3</v>
      </c>
      <c r="N167" s="4">
        <v>-7.2727593290799206E-3</v>
      </c>
    </row>
    <row r="168" spans="1:14">
      <c r="A168" s="8">
        <v>40036</v>
      </c>
      <c r="B168" s="4">
        <v>21.4</v>
      </c>
      <c r="C168" s="4">
        <v>9.9499999999999993</v>
      </c>
      <c r="D168" s="4">
        <v>1.78</v>
      </c>
      <c r="E168" s="4">
        <v>5.7</v>
      </c>
      <c r="F168" s="4">
        <v>7</v>
      </c>
      <c r="G168" s="4">
        <v>14.2</v>
      </c>
      <c r="I168" s="4">
        <v>3.8099846232270175E-2</v>
      </c>
      <c r="J168" s="4">
        <v>2.0305266160745523E-2</v>
      </c>
      <c r="K168" s="4">
        <v>1.1299555253933466E-2</v>
      </c>
      <c r="L168" s="4">
        <v>-8.7336799687545534E-3</v>
      </c>
      <c r="M168" s="4">
        <v>2.1661496781179467E-2</v>
      </c>
      <c r="N168" s="4">
        <v>3.5846131773135878E-2</v>
      </c>
    </row>
    <row r="169" spans="1:14">
      <c r="A169" s="8">
        <v>40038</v>
      </c>
      <c r="B169" s="4">
        <v>22</v>
      </c>
      <c r="C169" s="4">
        <v>10.1</v>
      </c>
      <c r="D169" s="4">
        <v>1.81</v>
      </c>
      <c r="E169" s="4">
        <v>5.9</v>
      </c>
      <c r="F169" s="4">
        <v>7.35</v>
      </c>
      <c r="G169" s="4">
        <v>14.4</v>
      </c>
      <c r="I169" s="4">
        <v>2.7651531330510164E-2</v>
      </c>
      <c r="J169" s="4">
        <v>1.496287267671232E-2</v>
      </c>
      <c r="K169" s="4">
        <v>1.6713480973740532E-2</v>
      </c>
      <c r="L169" s="4">
        <v>3.4486176071169404E-2</v>
      </c>
      <c r="M169" s="4">
        <v>4.8790164169432049E-2</v>
      </c>
      <c r="N169" s="4">
        <v>1.398624197473987E-2</v>
      </c>
    </row>
    <row r="170" spans="1:14">
      <c r="A170" s="8">
        <v>40039</v>
      </c>
      <c r="B170" s="4">
        <v>21.8</v>
      </c>
      <c r="C170" s="4">
        <v>10.5</v>
      </c>
      <c r="D170" s="4">
        <v>1.79</v>
      </c>
      <c r="E170" s="4">
        <v>5.95</v>
      </c>
      <c r="F170" s="4">
        <v>7.65</v>
      </c>
      <c r="G170" s="4">
        <v>14.4</v>
      </c>
      <c r="I170" s="4">
        <v>-9.1324835632724741E-3</v>
      </c>
      <c r="J170" s="4">
        <v>3.8839833316263957E-2</v>
      </c>
      <c r="K170" s="4">
        <v>-1.1111225425070722E-2</v>
      </c>
      <c r="L170" s="4">
        <v>8.4388686458646035E-3</v>
      </c>
      <c r="M170" s="4">
        <v>4.0005334613699206E-2</v>
      </c>
      <c r="N170" s="4">
        <v>0</v>
      </c>
    </row>
    <row r="171" spans="1:14">
      <c r="A171" s="8">
        <v>40042</v>
      </c>
      <c r="B171" s="4">
        <v>21</v>
      </c>
      <c r="C171" s="4">
        <v>9.9</v>
      </c>
      <c r="D171" s="4">
        <v>1.72</v>
      </c>
      <c r="E171" s="4">
        <v>5.7</v>
      </c>
      <c r="F171" s="4">
        <v>7.2</v>
      </c>
      <c r="G171" s="4">
        <v>14</v>
      </c>
      <c r="I171" s="4">
        <v>-3.7387532071620329E-2</v>
      </c>
      <c r="J171" s="4">
        <v>-5.8840500022933465E-2</v>
      </c>
      <c r="K171" s="4">
        <v>-3.9891329027301969E-2</v>
      </c>
      <c r="L171" s="4">
        <v>-4.2925044717033886E-2</v>
      </c>
      <c r="M171" s="4">
        <v>-6.0624621816434854E-2</v>
      </c>
      <c r="N171" s="4">
        <v>-2.8170876966696335E-2</v>
      </c>
    </row>
    <row r="172" spans="1:14">
      <c r="A172" s="8">
        <v>40043</v>
      </c>
      <c r="B172" s="4">
        <v>21.3</v>
      </c>
      <c r="C172" s="4">
        <v>9.9</v>
      </c>
      <c r="D172" s="4">
        <v>1.75</v>
      </c>
      <c r="E172" s="4">
        <v>5.9</v>
      </c>
      <c r="F172" s="4">
        <v>7.45</v>
      </c>
      <c r="G172" s="4">
        <v>14.2</v>
      </c>
      <c r="I172" s="4">
        <v>1.4184634991956381E-2</v>
      </c>
      <c r="J172" s="4">
        <v>0</v>
      </c>
      <c r="K172" s="4">
        <v>1.7291497110061043E-2</v>
      </c>
      <c r="L172" s="4">
        <v>3.4486176071169404E-2</v>
      </c>
      <c r="M172" s="4">
        <v>3.4133006369458617E-2</v>
      </c>
      <c r="N172" s="4">
        <v>1.4184634991956381E-2</v>
      </c>
    </row>
    <row r="173" spans="1:14">
      <c r="A173" s="8">
        <v>40044</v>
      </c>
      <c r="B173" s="4">
        <v>20.6</v>
      </c>
      <c r="C173" s="4">
        <v>9.6</v>
      </c>
      <c r="D173" s="4">
        <v>1.81</v>
      </c>
      <c r="E173" s="4">
        <v>5.8</v>
      </c>
      <c r="F173" s="4">
        <v>7.15</v>
      </c>
      <c r="G173" s="4">
        <v>14.1</v>
      </c>
      <c r="I173" s="4">
        <v>-3.3415996919843947E-2</v>
      </c>
      <c r="J173" s="4">
        <v>-3.0771658666753774E-2</v>
      </c>
      <c r="K173" s="4">
        <v>3.3711057342311661E-2</v>
      </c>
      <c r="L173" s="4">
        <v>-1.7094433359300183E-2</v>
      </c>
      <c r="M173" s="4">
        <v>-4.11016756855518E-2</v>
      </c>
      <c r="N173" s="4">
        <v>-7.067167223092443E-3</v>
      </c>
    </row>
    <row r="174" spans="1:14">
      <c r="A174" s="8">
        <v>40045</v>
      </c>
      <c r="B174" s="4">
        <v>20.7</v>
      </c>
      <c r="C174" s="4">
        <v>9.85</v>
      </c>
      <c r="D174" s="4">
        <v>1.86</v>
      </c>
      <c r="E174" s="4">
        <v>5.7</v>
      </c>
      <c r="F174" s="4">
        <v>7.4</v>
      </c>
      <c r="G174" s="4">
        <v>14.1</v>
      </c>
      <c r="I174" s="4">
        <v>4.8426244757879908E-3</v>
      </c>
      <c r="J174" s="4">
        <v>2.570835671020703E-2</v>
      </c>
      <c r="K174" s="4">
        <v>2.724964244737554E-2</v>
      </c>
      <c r="L174" s="4">
        <v>-1.7391742711869107E-2</v>
      </c>
      <c r="M174" s="4">
        <v>3.4367643504207818E-2</v>
      </c>
      <c r="N174" s="4">
        <v>0</v>
      </c>
    </row>
    <row r="175" spans="1:14">
      <c r="A175" s="8">
        <v>40046</v>
      </c>
      <c r="B175" s="4">
        <v>21</v>
      </c>
      <c r="C175" s="4">
        <v>10.1</v>
      </c>
      <c r="D175" s="4">
        <v>1.99</v>
      </c>
      <c r="E175" s="4">
        <v>5.6</v>
      </c>
      <c r="F175" s="4">
        <v>7.35</v>
      </c>
      <c r="G175" s="4">
        <v>14.1</v>
      </c>
      <c r="I175" s="4">
        <v>1.4388737452099671E-2</v>
      </c>
      <c r="J175" s="4">
        <v>2.506396866321622E-2</v>
      </c>
      <c r="K175" s="4">
        <v>6.755815101129109E-2</v>
      </c>
      <c r="L175" s="4">
        <v>-1.7699577099400975E-2</v>
      </c>
      <c r="M175" s="4">
        <v>-6.7796869853788038E-3</v>
      </c>
      <c r="N175" s="4">
        <v>0</v>
      </c>
    </row>
    <row r="176" spans="1:14">
      <c r="A176" s="8">
        <v>40049</v>
      </c>
      <c r="B176" s="4">
        <v>20.9</v>
      </c>
      <c r="C176" s="4">
        <v>10.7</v>
      </c>
      <c r="D176" s="4">
        <v>1.97</v>
      </c>
      <c r="E176" s="4">
        <v>5.65</v>
      </c>
      <c r="F176" s="4">
        <v>7.5</v>
      </c>
      <c r="G176" s="4">
        <v>14.2</v>
      </c>
      <c r="I176" s="4">
        <v>-4.7732787526577709E-3</v>
      </c>
      <c r="J176" s="4">
        <v>5.7708317620646772E-2</v>
      </c>
      <c r="K176" s="4">
        <v>-1.0101095986503933E-2</v>
      </c>
      <c r="L176" s="4">
        <v>8.8889474172462145E-3</v>
      </c>
      <c r="M176" s="4">
        <v>2.0202707317519469E-2</v>
      </c>
      <c r="N176" s="4">
        <v>7.0671672230923528E-3</v>
      </c>
    </row>
    <row r="177" spans="1:14">
      <c r="A177" s="8">
        <v>40050</v>
      </c>
      <c r="B177" s="4">
        <v>21.2</v>
      </c>
      <c r="C177" s="4">
        <v>10.4</v>
      </c>
      <c r="D177" s="4">
        <v>2.08</v>
      </c>
      <c r="E177" s="4">
        <v>5.8</v>
      </c>
      <c r="F177" s="4">
        <v>7.8</v>
      </c>
      <c r="G177" s="4">
        <v>14.2</v>
      </c>
      <c r="I177" s="4">
        <v>1.4252022707201413E-2</v>
      </c>
      <c r="J177" s="4">
        <v>-2.8437935320533399E-2</v>
      </c>
      <c r="K177" s="4">
        <v>5.4334350963329517E-2</v>
      </c>
      <c r="L177" s="4">
        <v>2.6202372394023902E-2</v>
      </c>
      <c r="M177" s="4">
        <v>3.9220713153281329E-2</v>
      </c>
      <c r="N177" s="4">
        <v>0</v>
      </c>
    </row>
    <row r="178" spans="1:14">
      <c r="A178" s="8">
        <v>40051</v>
      </c>
      <c r="B178" s="4">
        <v>21</v>
      </c>
      <c r="C178" s="4">
        <v>10.6</v>
      </c>
      <c r="D178" s="4">
        <v>2.2200000000000002</v>
      </c>
      <c r="E178" s="4">
        <v>5.85</v>
      </c>
      <c r="F178" s="4">
        <v>7.9</v>
      </c>
      <c r="G178" s="4">
        <v>14.2</v>
      </c>
      <c r="I178" s="4">
        <v>-9.47874395454377E-3</v>
      </c>
      <c r="J178" s="4">
        <v>1.9048194970694411E-2</v>
      </c>
      <c r="K178" s="4">
        <v>6.5139302170961449E-2</v>
      </c>
      <c r="L178" s="4">
        <v>8.583743691391435E-3</v>
      </c>
      <c r="M178" s="4">
        <v>1.2739025777429932E-2</v>
      </c>
      <c r="N178" s="4">
        <v>0</v>
      </c>
    </row>
    <row r="179" spans="1:14">
      <c r="A179" s="8">
        <v>40052</v>
      </c>
      <c r="B179" s="4">
        <v>21.5</v>
      </c>
      <c r="C179" s="4">
        <v>10.199999999999999</v>
      </c>
      <c r="D179" s="4">
        <v>2.1</v>
      </c>
      <c r="E179" s="4">
        <v>5.85</v>
      </c>
      <c r="F179" s="4">
        <v>7.8</v>
      </c>
      <c r="G179" s="4">
        <v>14.6</v>
      </c>
      <c r="I179" s="4">
        <v>2.3530497410194036E-2</v>
      </c>
      <c r="J179" s="4">
        <v>-3.8466280827796052E-2</v>
      </c>
      <c r="K179" s="4">
        <v>-5.5569851154810765E-2</v>
      </c>
      <c r="L179" s="4">
        <v>0</v>
      </c>
      <c r="M179" s="4">
        <v>-1.2739025777429826E-2</v>
      </c>
      <c r="N179" s="4">
        <v>2.7779564107075671E-2</v>
      </c>
    </row>
    <row r="180" spans="1:14">
      <c r="A180" s="8">
        <v>40053</v>
      </c>
      <c r="B180" s="4">
        <v>21.6</v>
      </c>
      <c r="C180" s="4">
        <v>9.9</v>
      </c>
      <c r="D180" s="4">
        <v>2.16</v>
      </c>
      <c r="E180" s="4">
        <v>5.85</v>
      </c>
      <c r="F180" s="4">
        <v>7.8</v>
      </c>
      <c r="G180" s="4">
        <v>14.3</v>
      </c>
      <c r="I180" s="4">
        <v>4.6403795565023009E-3</v>
      </c>
      <c r="J180" s="4">
        <v>-2.9852963149681045E-2</v>
      </c>
      <c r="K180" s="4">
        <v>2.8170876966696439E-2</v>
      </c>
      <c r="L180" s="4">
        <v>0</v>
      </c>
      <c r="M180" s="4">
        <v>0</v>
      </c>
      <c r="N180" s="4">
        <v>-2.0761991448429128E-2</v>
      </c>
    </row>
    <row r="181" spans="1:14">
      <c r="A181" s="8">
        <v>40056</v>
      </c>
      <c r="B181" s="4">
        <v>21.6</v>
      </c>
      <c r="C181" s="4">
        <v>9.9</v>
      </c>
      <c r="D181" s="4">
        <v>2.2999999999999998</v>
      </c>
      <c r="E181" s="4">
        <v>6</v>
      </c>
      <c r="F181" s="4">
        <v>7.75</v>
      </c>
      <c r="G181" s="4">
        <v>14.7</v>
      </c>
      <c r="I181" s="4">
        <v>0</v>
      </c>
      <c r="J181" s="4">
        <v>0</v>
      </c>
      <c r="K181" s="4">
        <v>6.2800901239030232E-2</v>
      </c>
      <c r="L181" s="4">
        <v>2.5317807984290001E-2</v>
      </c>
      <c r="M181" s="4">
        <v>-6.4308903302904025E-3</v>
      </c>
      <c r="N181" s="4">
        <v>2.7587956518828963E-2</v>
      </c>
    </row>
    <row r="182" spans="1:14">
      <c r="A182" s="8">
        <v>40057</v>
      </c>
      <c r="B182" s="4">
        <v>21.8</v>
      </c>
      <c r="C182" s="4">
        <v>9.9499999999999993</v>
      </c>
      <c r="D182" s="4">
        <v>2.2799999999999998</v>
      </c>
      <c r="E182" s="4">
        <v>6.1</v>
      </c>
      <c r="F182" s="4">
        <v>7.75</v>
      </c>
      <c r="G182" s="4">
        <v>14.4</v>
      </c>
      <c r="I182" s="4">
        <v>9.2166551049240476E-3</v>
      </c>
      <c r="J182" s="4">
        <v>5.037794029957081E-3</v>
      </c>
      <c r="K182" s="4">
        <v>-8.7336799687546662E-3</v>
      </c>
      <c r="L182" s="4">
        <v>1.6529301951210506E-2</v>
      </c>
      <c r="M182" s="4">
        <v>0</v>
      </c>
      <c r="N182" s="4">
        <v>-2.0619287202735592E-2</v>
      </c>
    </row>
    <row r="183" spans="1:14">
      <c r="A183" s="8">
        <v>40058</v>
      </c>
      <c r="B183" s="4">
        <v>23.1</v>
      </c>
      <c r="C183" s="4">
        <v>10.199999999999999</v>
      </c>
      <c r="D183" s="4">
        <v>2.34</v>
      </c>
      <c r="E183" s="4">
        <v>6.3</v>
      </c>
      <c r="F183" s="4">
        <v>7.8</v>
      </c>
      <c r="G183" s="4">
        <v>14.8</v>
      </c>
      <c r="I183" s="4">
        <v>5.7922647732704509E-2</v>
      </c>
      <c r="J183" s="4">
        <v>2.4815169119723993E-2</v>
      </c>
      <c r="K183" s="4">
        <v>2.5975486403260736E-2</v>
      </c>
      <c r="L183" s="4">
        <v>3.2260862218221477E-2</v>
      </c>
      <c r="M183" s="4">
        <v>6.4308903302903314E-3</v>
      </c>
      <c r="N183" s="4">
        <v>2.7398974188114562E-2</v>
      </c>
    </row>
    <row r="184" spans="1:14">
      <c r="A184" s="8">
        <v>40059</v>
      </c>
      <c r="B184" s="4">
        <v>23.5</v>
      </c>
      <c r="C184" s="4">
        <v>10.6</v>
      </c>
      <c r="D184" s="4">
        <v>2.2999999999999998</v>
      </c>
      <c r="E184" s="4">
        <v>6.6</v>
      </c>
      <c r="F184" s="4">
        <v>8</v>
      </c>
      <c r="G184" s="4">
        <v>15.8</v>
      </c>
      <c r="I184" s="4">
        <v>1.716780362236528E-2</v>
      </c>
      <c r="J184" s="4">
        <v>3.8466280827796143E-2</v>
      </c>
      <c r="K184" s="4">
        <v>-1.7241806434506103E-2</v>
      </c>
      <c r="L184" s="4">
        <v>4.6520015634892907E-2</v>
      </c>
      <c r="M184" s="4">
        <v>2.5317807984290001E-2</v>
      </c>
      <c r="N184" s="4">
        <v>6.5382759262851711E-2</v>
      </c>
    </row>
    <row r="185" spans="1:14">
      <c r="A185" s="8">
        <v>40060</v>
      </c>
      <c r="B185" s="4">
        <v>21.3</v>
      </c>
      <c r="C185" s="4">
        <v>10.4</v>
      </c>
      <c r="D185" s="4">
        <v>2.2200000000000002</v>
      </c>
      <c r="E185" s="4">
        <v>6.5</v>
      </c>
      <c r="F185" s="4">
        <v>8.1</v>
      </c>
      <c r="G185" s="4">
        <v>15.9</v>
      </c>
      <c r="I185" s="4">
        <v>-9.8293348434733877E-2</v>
      </c>
      <c r="J185" s="4">
        <v>-1.9048194970694363E-2</v>
      </c>
      <c r="K185" s="4">
        <v>-3.5401927050915723E-2</v>
      </c>
      <c r="L185" s="4">
        <v>-1.5267472130788421E-2</v>
      </c>
      <c r="M185" s="4">
        <v>1.242251999855711E-2</v>
      </c>
      <c r="N185" s="4">
        <v>6.3091691932647556E-3</v>
      </c>
    </row>
    <row r="186" spans="1:14">
      <c r="A186" s="8">
        <v>40063</v>
      </c>
      <c r="B186" s="4">
        <v>22.5</v>
      </c>
      <c r="C186" s="4">
        <v>10.8</v>
      </c>
      <c r="D186" s="4">
        <v>2.2999999999999998</v>
      </c>
      <c r="E186" s="4">
        <v>6.7</v>
      </c>
      <c r="F186" s="4">
        <v>8.1999999999999993</v>
      </c>
      <c r="G186" s="4">
        <v>16.3</v>
      </c>
      <c r="I186" s="4">
        <v>5.4808236494994951E-2</v>
      </c>
      <c r="J186" s="4">
        <v>3.7740327982847113E-2</v>
      </c>
      <c r="K186" s="4">
        <v>3.5401927050915792E-2</v>
      </c>
      <c r="L186" s="4">
        <v>3.0305349495329058E-2</v>
      </c>
      <c r="M186" s="4">
        <v>1.2270092591814401E-2</v>
      </c>
      <c r="N186" s="4">
        <v>2.4845998586530804E-2</v>
      </c>
    </row>
    <row r="187" spans="1:14">
      <c r="A187" s="8">
        <v>40064</v>
      </c>
      <c r="B187" s="4">
        <v>22.2</v>
      </c>
      <c r="C187" s="4">
        <v>10.6</v>
      </c>
      <c r="D187" s="4">
        <v>2.2799999999999998</v>
      </c>
      <c r="E187" s="4">
        <v>6.65</v>
      </c>
      <c r="F187" s="4">
        <v>8.6999999999999993</v>
      </c>
      <c r="G187" s="4">
        <v>16.3</v>
      </c>
      <c r="I187" s="4">
        <v>-1.3423020332140774E-2</v>
      </c>
      <c r="J187" s="4">
        <v>-1.8692133012152633E-2</v>
      </c>
      <c r="K187" s="4">
        <v>-8.7336799687546662E-3</v>
      </c>
      <c r="L187" s="4">
        <v>-7.4906717291576257E-3</v>
      </c>
      <c r="M187" s="4">
        <v>5.9188871390330654E-2</v>
      </c>
      <c r="N187" s="4">
        <v>0</v>
      </c>
    </row>
    <row r="188" spans="1:14">
      <c r="A188" s="8">
        <v>40065</v>
      </c>
      <c r="B188" s="4">
        <v>22.1</v>
      </c>
      <c r="C188" s="4">
        <v>10.6</v>
      </c>
      <c r="D188" s="4">
        <v>2.2599999999999998</v>
      </c>
      <c r="E188" s="4">
        <v>6.5</v>
      </c>
      <c r="F188" s="4">
        <v>9</v>
      </c>
      <c r="G188" s="4">
        <v>16.2</v>
      </c>
      <c r="I188" s="4">
        <v>-4.5146803545265827E-3</v>
      </c>
      <c r="J188" s="4">
        <v>0</v>
      </c>
      <c r="K188" s="4">
        <v>-8.8106296821549197E-3</v>
      </c>
      <c r="L188" s="4">
        <v>-2.2814677766171399E-2</v>
      </c>
      <c r="M188" s="4">
        <v>3.3901551675681416E-2</v>
      </c>
      <c r="N188" s="4">
        <v>-6.1538655743783354E-3</v>
      </c>
    </row>
    <row r="189" spans="1:14">
      <c r="A189" s="8">
        <v>40066</v>
      </c>
      <c r="B189" s="4">
        <v>22.1</v>
      </c>
      <c r="C189" s="4">
        <v>10.9</v>
      </c>
      <c r="D189" s="4">
        <v>2.2599999999999998</v>
      </c>
      <c r="E189" s="4">
        <v>6.5</v>
      </c>
      <c r="F189" s="4">
        <v>8.9</v>
      </c>
      <c r="G189" s="4">
        <v>16.2</v>
      </c>
      <c r="I189" s="4">
        <v>0</v>
      </c>
      <c r="J189" s="4">
        <v>2.7908788117076658E-2</v>
      </c>
      <c r="K189" s="4">
        <v>0</v>
      </c>
      <c r="L189" s="4">
        <v>0</v>
      </c>
      <c r="M189" s="4">
        <v>-1.1173300598125189E-2</v>
      </c>
      <c r="N189" s="4">
        <v>0</v>
      </c>
    </row>
    <row r="190" spans="1:14">
      <c r="A190" s="8">
        <v>40067</v>
      </c>
      <c r="B190" s="4">
        <v>22.1</v>
      </c>
      <c r="C190" s="4">
        <v>10.9</v>
      </c>
      <c r="D190" s="4">
        <v>2.2999999999999998</v>
      </c>
      <c r="E190" s="4">
        <v>6.75</v>
      </c>
      <c r="F190" s="4">
        <v>9.1</v>
      </c>
      <c r="G190" s="4">
        <v>16.399999999999999</v>
      </c>
      <c r="I190" s="4">
        <v>0</v>
      </c>
      <c r="J190" s="4">
        <v>0</v>
      </c>
      <c r="K190" s="4">
        <v>1.7544309650909525E-2</v>
      </c>
      <c r="L190" s="4">
        <v>3.7740327982847113E-2</v>
      </c>
      <c r="M190" s="4">
        <v>2.2223136784710041E-2</v>
      </c>
      <c r="N190" s="4">
        <v>1.2270092591814401E-2</v>
      </c>
    </row>
    <row r="191" spans="1:14">
      <c r="A191" s="8">
        <v>40070</v>
      </c>
      <c r="B191" s="4">
        <v>22</v>
      </c>
      <c r="C191" s="4">
        <v>10.4</v>
      </c>
      <c r="D191" s="4">
        <v>2.36</v>
      </c>
      <c r="E191" s="4">
        <v>6.85</v>
      </c>
      <c r="F191" s="4">
        <v>8.9</v>
      </c>
      <c r="G191" s="4">
        <v>16.2</v>
      </c>
      <c r="I191" s="4">
        <v>-4.5351551653913741E-3</v>
      </c>
      <c r="J191" s="4">
        <v>-4.6956983087770979E-2</v>
      </c>
      <c r="K191" s="4">
        <v>2.5752496102414764E-2</v>
      </c>
      <c r="L191" s="4">
        <v>1.4706147389695487E-2</v>
      </c>
      <c r="M191" s="4">
        <v>-2.2223136784710124E-2</v>
      </c>
      <c r="N191" s="4">
        <v>-1.2270092591814359E-2</v>
      </c>
    </row>
    <row r="192" spans="1:14">
      <c r="A192" s="8">
        <v>40071</v>
      </c>
      <c r="B192" s="4">
        <v>21.8</v>
      </c>
      <c r="C192" s="4">
        <v>10.9</v>
      </c>
      <c r="D192" s="4">
        <v>2.8</v>
      </c>
      <c r="E192" s="4">
        <v>6.9</v>
      </c>
      <c r="F192" s="4">
        <v>9.1</v>
      </c>
      <c r="G192" s="4">
        <v>16.100000000000001</v>
      </c>
      <c r="I192" s="4">
        <v>-9.1324835632724741E-3</v>
      </c>
      <c r="J192" s="4">
        <v>4.6956983087771083E-2</v>
      </c>
      <c r="K192" s="4">
        <v>0.17095779814363948</v>
      </c>
      <c r="L192" s="4">
        <v>7.2727593290798781E-3</v>
      </c>
      <c r="M192" s="4">
        <v>2.2223136784710041E-2</v>
      </c>
      <c r="N192" s="4">
        <v>-6.1919702479209951E-3</v>
      </c>
    </row>
    <row r="193" spans="1:14">
      <c r="A193" s="8">
        <v>40072</v>
      </c>
      <c r="B193" s="4">
        <v>22.1</v>
      </c>
      <c r="C193" s="4">
        <v>11</v>
      </c>
      <c r="D193" s="4">
        <v>2.84</v>
      </c>
      <c r="E193" s="4">
        <v>7.05</v>
      </c>
      <c r="F193" s="4">
        <v>9.8000000000000007</v>
      </c>
      <c r="G193" s="4">
        <v>16.3</v>
      </c>
      <c r="I193" s="4">
        <v>1.3667638728663835E-2</v>
      </c>
      <c r="J193" s="4">
        <v>9.1324835632724723E-3</v>
      </c>
      <c r="K193" s="4">
        <v>1.4184634991956381E-2</v>
      </c>
      <c r="L193" s="4">
        <v>2.1506205220963463E-2</v>
      </c>
      <c r="M193" s="4">
        <v>7.4107972153722043E-2</v>
      </c>
      <c r="N193" s="4">
        <v>1.2345835822299362E-2</v>
      </c>
    </row>
    <row r="194" spans="1:14">
      <c r="A194" s="8">
        <v>40073</v>
      </c>
      <c r="B194" s="4">
        <v>21.9</v>
      </c>
      <c r="C194" s="4">
        <v>11.6</v>
      </c>
      <c r="D194" s="4">
        <v>2.78</v>
      </c>
      <c r="E194" s="4">
        <v>6.95</v>
      </c>
      <c r="F194" s="4">
        <v>9.6999999999999993</v>
      </c>
      <c r="G194" s="4">
        <v>16.100000000000001</v>
      </c>
      <c r="I194" s="4">
        <v>-9.0909717012520753E-3</v>
      </c>
      <c r="J194" s="4">
        <v>5.3109825313948332E-2</v>
      </c>
      <c r="K194" s="4">
        <v>-2.1353124470568946E-2</v>
      </c>
      <c r="L194" s="4">
        <v>-1.4285957247476428E-2</v>
      </c>
      <c r="M194" s="4">
        <v>-1.0256500167189221E-2</v>
      </c>
      <c r="N194" s="4">
        <v>-1.2345835822299266E-2</v>
      </c>
    </row>
    <row r="195" spans="1:14">
      <c r="A195" s="8">
        <v>40074</v>
      </c>
      <c r="B195" s="4">
        <v>22.4</v>
      </c>
      <c r="C195" s="4">
        <v>11.6</v>
      </c>
      <c r="D195" s="4">
        <v>2.8</v>
      </c>
      <c r="E195" s="4">
        <v>7</v>
      </c>
      <c r="F195" s="4">
        <v>10.5</v>
      </c>
      <c r="G195" s="4">
        <v>16.2</v>
      </c>
      <c r="I195" s="4">
        <v>2.2574322038538975E-2</v>
      </c>
      <c r="J195" s="4">
        <v>0</v>
      </c>
      <c r="K195" s="4">
        <v>7.168489478612497E-3</v>
      </c>
      <c r="L195" s="4">
        <v>7.168489478612497E-3</v>
      </c>
      <c r="M195" s="4">
        <v>7.9249371654140685E-2</v>
      </c>
      <c r="N195" s="4">
        <v>6.1919702479209804E-3</v>
      </c>
    </row>
    <row r="196" spans="1:14">
      <c r="A196" s="8">
        <v>40077</v>
      </c>
      <c r="B196" s="4">
        <v>22.2</v>
      </c>
      <c r="C196" s="4">
        <v>12.1</v>
      </c>
      <c r="D196" s="4">
        <v>2.9</v>
      </c>
      <c r="E196" s="4">
        <v>7.05</v>
      </c>
      <c r="F196" s="4">
        <v>11.4</v>
      </c>
      <c r="G196" s="4">
        <v>16.2</v>
      </c>
      <c r="I196" s="4">
        <v>-8.9686699827603751E-3</v>
      </c>
      <c r="J196" s="4">
        <v>4.2200354490376471E-2</v>
      </c>
      <c r="K196" s="4">
        <v>3.5091319811270193E-2</v>
      </c>
      <c r="L196" s="4">
        <v>7.1174677688639549E-3</v>
      </c>
      <c r="M196" s="4">
        <v>8.2238098236972215E-2</v>
      </c>
      <c r="N196" s="4">
        <v>0</v>
      </c>
    </row>
    <row r="197" spans="1:14">
      <c r="A197" s="8">
        <v>40078</v>
      </c>
      <c r="B197" s="4">
        <v>22.2</v>
      </c>
      <c r="C197" s="4">
        <v>12.4</v>
      </c>
      <c r="D197" s="4">
        <v>2.94</v>
      </c>
      <c r="E197" s="4">
        <v>7.2</v>
      </c>
      <c r="F197" s="4">
        <v>11.4</v>
      </c>
      <c r="G197" s="4">
        <v>16.399999999999999</v>
      </c>
      <c r="I197" s="4">
        <v>0</v>
      </c>
      <c r="J197" s="4">
        <v>2.4491020008295911E-2</v>
      </c>
      <c r="K197" s="4">
        <v>1.3698844358161927E-2</v>
      </c>
      <c r="L197" s="4">
        <v>2.1053409197832482E-2</v>
      </c>
      <c r="M197" s="4">
        <v>0</v>
      </c>
      <c r="N197" s="4">
        <v>1.2270092591814401E-2</v>
      </c>
    </row>
    <row r="198" spans="1:14">
      <c r="A198" s="8">
        <v>40079</v>
      </c>
      <c r="B198" s="4">
        <v>22</v>
      </c>
      <c r="C198" s="4">
        <v>12.5</v>
      </c>
      <c r="D198" s="4">
        <v>3.06</v>
      </c>
      <c r="E198" s="4">
        <v>7.3</v>
      </c>
      <c r="F198" s="4">
        <v>11.2</v>
      </c>
      <c r="G198" s="4">
        <v>17</v>
      </c>
      <c r="I198" s="4">
        <v>-9.0498355199179273E-3</v>
      </c>
      <c r="J198" s="4">
        <v>8.0321716972642527E-3</v>
      </c>
      <c r="K198" s="4">
        <v>4.0005334613699206E-2</v>
      </c>
      <c r="L198" s="4">
        <v>1.3793322132335769E-2</v>
      </c>
      <c r="M198" s="4">
        <v>-1.7699577099400975E-2</v>
      </c>
      <c r="N198" s="4">
        <v>3.593200922606337E-2</v>
      </c>
    </row>
    <row r="199" spans="1:14">
      <c r="A199" s="8">
        <v>40080</v>
      </c>
      <c r="B199" s="4">
        <v>22.1</v>
      </c>
      <c r="C199" s="4">
        <v>12.6</v>
      </c>
      <c r="D199" s="4">
        <v>3.14</v>
      </c>
      <c r="E199" s="4">
        <v>7.2</v>
      </c>
      <c r="F199" s="4">
        <v>11.3</v>
      </c>
      <c r="G199" s="4">
        <v>17</v>
      </c>
      <c r="I199" s="4">
        <v>4.5351551653913628E-3</v>
      </c>
      <c r="J199" s="4">
        <v>7.9681696491768813E-3</v>
      </c>
      <c r="K199" s="4">
        <v>2.5807883955872721E-2</v>
      </c>
      <c r="L199" s="4">
        <v>-1.3793322132335761E-2</v>
      </c>
      <c r="M199" s="4">
        <v>8.8889474172462145E-3</v>
      </c>
      <c r="N199" s="4">
        <v>0</v>
      </c>
    </row>
    <row r="200" spans="1:14">
      <c r="A200" s="8">
        <v>40081</v>
      </c>
      <c r="B200" s="4">
        <v>22</v>
      </c>
      <c r="C200" s="4">
        <v>12.3</v>
      </c>
      <c r="D200" s="4">
        <v>3.14</v>
      </c>
      <c r="E200" s="4">
        <v>7.5</v>
      </c>
      <c r="F200" s="4">
        <v>11.1</v>
      </c>
      <c r="G200" s="4">
        <v>17.100000000000001</v>
      </c>
      <c r="I200" s="4">
        <v>-4.5351551653913741E-3</v>
      </c>
      <c r="J200" s="4">
        <v>-2.4097551579060416E-2</v>
      </c>
      <c r="K200" s="4">
        <v>0</v>
      </c>
      <c r="L200" s="4">
        <v>4.08219945202552E-2</v>
      </c>
      <c r="M200" s="4">
        <v>-1.7857617400006572E-2</v>
      </c>
      <c r="N200" s="4">
        <v>5.8651194523980576E-3</v>
      </c>
    </row>
    <row r="201" spans="1:14">
      <c r="A201" s="8">
        <v>40084</v>
      </c>
      <c r="B201" s="4">
        <v>21.9</v>
      </c>
      <c r="C201" s="4">
        <v>11.5</v>
      </c>
      <c r="D201" s="4">
        <v>3.12</v>
      </c>
      <c r="E201" s="4">
        <v>7.6</v>
      </c>
      <c r="F201" s="4">
        <v>10.3</v>
      </c>
      <c r="G201" s="4">
        <v>17.100000000000001</v>
      </c>
      <c r="I201" s="4">
        <v>-4.5558165358608018E-3</v>
      </c>
      <c r="J201" s="4">
        <v>-6.7252227009167456E-2</v>
      </c>
      <c r="K201" s="4">
        <v>-6.38979809877101E-3</v>
      </c>
      <c r="L201" s="4">
        <v>1.3245226750020505E-2</v>
      </c>
      <c r="M201" s="4">
        <v>-7.4801213082698284E-2</v>
      </c>
      <c r="N201" s="4">
        <v>0</v>
      </c>
    </row>
    <row r="202" spans="1:14">
      <c r="A202" s="8">
        <v>40085</v>
      </c>
      <c r="B202" s="4">
        <v>22</v>
      </c>
      <c r="C202" s="4">
        <v>11.6</v>
      </c>
      <c r="D202" s="4">
        <v>3.12</v>
      </c>
      <c r="E202" s="4">
        <v>7.85</v>
      </c>
      <c r="F202" s="4">
        <v>10.3</v>
      </c>
      <c r="G202" s="4">
        <v>17.2</v>
      </c>
      <c r="I202" s="4">
        <v>4.5558165358608824E-3</v>
      </c>
      <c r="J202" s="4">
        <v>8.6580627431145311E-3</v>
      </c>
      <c r="K202" s="4">
        <v>0</v>
      </c>
      <c r="L202" s="4">
        <v>3.2365284502031716E-2</v>
      </c>
      <c r="M202" s="4">
        <v>0</v>
      </c>
      <c r="N202" s="4">
        <v>5.8309203107931437E-3</v>
      </c>
    </row>
    <row r="203" spans="1:14">
      <c r="A203" s="8">
        <v>40086</v>
      </c>
      <c r="B203" s="4">
        <v>22.9</v>
      </c>
      <c r="C203" s="4">
        <v>11.7</v>
      </c>
      <c r="D203" s="4">
        <v>3.14</v>
      </c>
      <c r="E203" s="4">
        <v>7.95</v>
      </c>
      <c r="F203" s="4">
        <v>10.6</v>
      </c>
      <c r="G203" s="4">
        <v>17.399999999999999</v>
      </c>
      <c r="I203" s="4">
        <v>4.0094457201877994E-2</v>
      </c>
      <c r="J203" s="4">
        <v>8.583743691391435E-3</v>
      </c>
      <c r="K203" s="4">
        <v>6.3897980987709883E-3</v>
      </c>
      <c r="L203" s="4">
        <v>1.2658396871923465E-2</v>
      </c>
      <c r="M203" s="4">
        <v>2.871010588243136E-2</v>
      </c>
      <c r="N203" s="4">
        <v>1.1560822401076006E-2</v>
      </c>
    </row>
    <row r="204" spans="1:14">
      <c r="A204" s="8">
        <v>40087</v>
      </c>
      <c r="B204" s="4">
        <v>24.6</v>
      </c>
      <c r="C204" s="4">
        <v>11.9</v>
      </c>
      <c r="D204" s="4">
        <v>3.28</v>
      </c>
      <c r="E204" s="4">
        <v>8.5</v>
      </c>
      <c r="F204" s="4">
        <v>10.6</v>
      </c>
      <c r="G204" s="4">
        <v>18.100000000000001</v>
      </c>
      <c r="I204" s="4">
        <v>7.1609532378123217E-2</v>
      </c>
      <c r="J204" s="4">
        <v>1.6949558313773424E-2</v>
      </c>
      <c r="K204" s="4">
        <v>4.3620622475890353E-2</v>
      </c>
      <c r="L204" s="4">
        <v>6.6894234830030222E-2</v>
      </c>
      <c r="M204" s="4">
        <v>0</v>
      </c>
      <c r="N204" s="4">
        <v>3.9441732051296835E-2</v>
      </c>
    </row>
    <row r="205" spans="1:14">
      <c r="A205" s="8">
        <v>40088</v>
      </c>
      <c r="B205" s="4">
        <v>24.5</v>
      </c>
      <c r="C205" s="4">
        <v>11.7</v>
      </c>
      <c r="D205" s="4">
        <v>3.28</v>
      </c>
      <c r="E205" s="4">
        <v>8.6999999999999993</v>
      </c>
      <c r="F205" s="4">
        <v>10.5</v>
      </c>
      <c r="G205" s="4">
        <v>17.899999999999999</v>
      </c>
      <c r="I205" s="4">
        <v>-4.0733253876358982E-3</v>
      </c>
      <c r="J205" s="4">
        <v>-1.694955831377332E-2</v>
      </c>
      <c r="K205" s="4">
        <v>0</v>
      </c>
      <c r="L205" s="4">
        <v>2.3256862164267183E-2</v>
      </c>
      <c r="M205" s="4">
        <v>-9.47874395454377E-3</v>
      </c>
      <c r="N205" s="4">
        <v>-1.1111225425070946E-2</v>
      </c>
    </row>
    <row r="206" spans="1:14">
      <c r="A206" s="8">
        <v>40091</v>
      </c>
      <c r="B206" s="4">
        <v>25</v>
      </c>
      <c r="C206" s="4">
        <v>12.1</v>
      </c>
      <c r="D206" s="4">
        <v>3.34</v>
      </c>
      <c r="E206" s="4">
        <v>8.65</v>
      </c>
      <c r="F206" s="4">
        <v>10.7</v>
      </c>
      <c r="G206" s="4">
        <v>18.2</v>
      </c>
      <c r="I206" s="4">
        <v>2.0202707317519469E-2</v>
      </c>
      <c r="J206" s="4">
        <v>3.3616610798985064E-2</v>
      </c>
      <c r="K206" s="4">
        <v>1.8127384592556701E-2</v>
      </c>
      <c r="L206" s="4">
        <v>-5.7637047167499065E-3</v>
      </c>
      <c r="M206" s="4">
        <v>1.8868484304382736E-2</v>
      </c>
      <c r="N206" s="4">
        <v>1.66208812360405E-2</v>
      </c>
    </row>
    <row r="207" spans="1:14">
      <c r="A207" s="8">
        <v>40092</v>
      </c>
      <c r="B207" s="4">
        <v>25</v>
      </c>
      <c r="C207" s="4">
        <v>13.1</v>
      </c>
      <c r="D207" s="4">
        <v>3.76</v>
      </c>
      <c r="E207" s="4">
        <v>8.8000000000000007</v>
      </c>
      <c r="F207" s="4">
        <v>11.3</v>
      </c>
      <c r="G207" s="4">
        <v>18.5</v>
      </c>
      <c r="I207" s="4">
        <v>0</v>
      </c>
      <c r="J207" s="4">
        <v>7.9406777604410408E-2</v>
      </c>
      <c r="K207" s="4">
        <v>0.11844815041319409</v>
      </c>
      <c r="L207" s="4">
        <v>1.7192400540372771E-2</v>
      </c>
      <c r="M207" s="4">
        <v>5.4558984250434608E-2</v>
      </c>
      <c r="N207" s="4">
        <v>1.6349138001529411E-2</v>
      </c>
    </row>
    <row r="208" spans="1:14">
      <c r="A208" s="8">
        <v>40093</v>
      </c>
      <c r="B208" s="4">
        <v>24.7</v>
      </c>
      <c r="C208" s="4">
        <v>13.4</v>
      </c>
      <c r="D208" s="4">
        <v>4.1399999999999997</v>
      </c>
      <c r="E208" s="4">
        <v>8.6999999999999993</v>
      </c>
      <c r="F208" s="4">
        <v>11.1</v>
      </c>
      <c r="G208" s="4">
        <v>19.100000000000001</v>
      </c>
      <c r="I208" s="4">
        <v>-1.2072581234269249E-2</v>
      </c>
      <c r="J208" s="4">
        <v>2.2642476749759971E-2</v>
      </c>
      <c r="K208" s="4">
        <v>9.6276830435419777E-2</v>
      </c>
      <c r="L208" s="4">
        <v>-1.1428695823622968E-2</v>
      </c>
      <c r="M208" s="4">
        <v>-1.7857617400006572E-2</v>
      </c>
      <c r="N208" s="4">
        <v>3.1917602968305162E-2</v>
      </c>
    </row>
    <row r="209" spans="1:14">
      <c r="A209" s="8">
        <v>40094</v>
      </c>
      <c r="B209" s="4">
        <v>24.6</v>
      </c>
      <c r="C209" s="4">
        <v>14.9</v>
      </c>
      <c r="D209" s="4">
        <v>4.16</v>
      </c>
      <c r="E209" s="4">
        <v>8.9</v>
      </c>
      <c r="F209" s="4">
        <v>11.1</v>
      </c>
      <c r="G209" s="4">
        <v>19.899999999999999</v>
      </c>
      <c r="I209" s="4">
        <v>-4.056800695614318E-3</v>
      </c>
      <c r="J209" s="4">
        <v>0.10610650599454777</v>
      </c>
      <c r="K209" s="4">
        <v>4.8192864359489218E-3</v>
      </c>
      <c r="L209" s="4">
        <v>2.272825107755631E-2</v>
      </c>
      <c r="M209" s="4">
        <v>0</v>
      </c>
      <c r="N209" s="4">
        <v>4.1031396677862354E-2</v>
      </c>
    </row>
    <row r="210" spans="1:14">
      <c r="A210" s="8">
        <v>40095</v>
      </c>
      <c r="B210" s="4">
        <v>25.5</v>
      </c>
      <c r="C210" s="4">
        <v>14.2</v>
      </c>
      <c r="D210" s="4">
        <v>4.0599999999999996</v>
      </c>
      <c r="E210" s="4">
        <v>9</v>
      </c>
      <c r="F210" s="4">
        <v>11.2</v>
      </c>
      <c r="G210" s="4">
        <v>21.2</v>
      </c>
      <c r="I210" s="4">
        <v>3.593200922606337E-2</v>
      </c>
      <c r="J210" s="4">
        <v>-4.8119248344198458E-2</v>
      </c>
      <c r="K210" s="4">
        <v>-2.4332100659530783E-2</v>
      </c>
      <c r="L210" s="4">
        <v>1.1173300598125255E-2</v>
      </c>
      <c r="M210" s="4">
        <v>8.9686699827603161E-3</v>
      </c>
      <c r="N210" s="4">
        <v>6.328144994752001E-2</v>
      </c>
    </row>
    <row r="211" spans="1:14">
      <c r="A211" s="8">
        <v>40098</v>
      </c>
      <c r="B211" s="4">
        <v>25.25</v>
      </c>
      <c r="C211" s="4">
        <v>14.3</v>
      </c>
      <c r="D211" s="4">
        <v>4.12</v>
      </c>
      <c r="E211" s="4">
        <v>9.5</v>
      </c>
      <c r="F211" s="4">
        <v>11</v>
      </c>
      <c r="G211" s="4">
        <v>21.6</v>
      </c>
      <c r="I211" s="4">
        <v>-9.8522964430115944E-3</v>
      </c>
      <c r="J211" s="4">
        <v>7.0175726586465398E-3</v>
      </c>
      <c r="K211" s="4">
        <v>1.4670189747793839E-2</v>
      </c>
      <c r="L211" s="4">
        <v>5.4067221270275793E-2</v>
      </c>
      <c r="M211" s="4">
        <v>-1.801850550267825E-2</v>
      </c>
      <c r="N211" s="4">
        <v>1.8692133012152546E-2</v>
      </c>
    </row>
    <row r="212" spans="1:14">
      <c r="A212" s="8">
        <v>40099</v>
      </c>
      <c r="B212" s="4">
        <v>25.25</v>
      </c>
      <c r="C212" s="4">
        <v>14.4</v>
      </c>
      <c r="D212" s="4">
        <v>4.12</v>
      </c>
      <c r="E212" s="4">
        <v>9.6</v>
      </c>
      <c r="F212" s="4">
        <v>10.8</v>
      </c>
      <c r="G212" s="4">
        <v>20.5</v>
      </c>
      <c r="I212" s="4">
        <v>0</v>
      </c>
      <c r="J212" s="4">
        <v>6.9686693160932152E-3</v>
      </c>
      <c r="K212" s="4">
        <v>0</v>
      </c>
      <c r="L212" s="4">
        <v>1.0471299867295437E-2</v>
      </c>
      <c r="M212" s="4">
        <v>-1.834913866819643E-2</v>
      </c>
      <c r="N212" s="4">
        <v>-5.2268428545756945E-2</v>
      </c>
    </row>
    <row r="213" spans="1:14">
      <c r="A213" s="8">
        <v>40100</v>
      </c>
      <c r="B213" s="4">
        <v>24.8</v>
      </c>
      <c r="C213" s="4">
        <v>14</v>
      </c>
      <c r="D213" s="4">
        <v>3.9</v>
      </c>
      <c r="E213" s="4">
        <v>9.4499999999999993</v>
      </c>
      <c r="F213" s="4">
        <v>10.4</v>
      </c>
      <c r="G213" s="4">
        <v>20.100000000000001</v>
      </c>
      <c r="I213" s="4">
        <v>-1.7982502550432357E-2</v>
      </c>
      <c r="J213" s="4">
        <v>-2.8170876966696335E-2</v>
      </c>
      <c r="K213" s="4">
        <v>-5.4876610225834371E-2</v>
      </c>
      <c r="L213" s="4">
        <v>-1.5748356968139168E-2</v>
      </c>
      <c r="M213" s="4">
        <v>-3.7740327982847086E-2</v>
      </c>
      <c r="N213" s="4">
        <v>-1.9705071079332333E-2</v>
      </c>
    </row>
    <row r="214" spans="1:14">
      <c r="A214" s="8">
        <v>40101</v>
      </c>
      <c r="B214" s="4">
        <v>23.4</v>
      </c>
      <c r="C214" s="4">
        <v>13.6</v>
      </c>
      <c r="D214" s="4">
        <v>3.6</v>
      </c>
      <c r="E214" s="4">
        <v>8.6</v>
      </c>
      <c r="F214" s="4">
        <v>9.4499999999999993</v>
      </c>
      <c r="G214" s="4">
        <v>18.399999999999999</v>
      </c>
      <c r="I214" s="4">
        <v>-5.8107630807280812E-2</v>
      </c>
      <c r="J214" s="4">
        <v>-2.8987536873252298E-2</v>
      </c>
      <c r="K214" s="4">
        <v>-8.004270767353637E-2</v>
      </c>
      <c r="L214" s="4">
        <v>-9.4252538246189274E-2</v>
      </c>
      <c r="M214" s="4">
        <v>-9.5791064641675722E-2</v>
      </c>
      <c r="N214" s="4">
        <v>-8.836915045009032E-2</v>
      </c>
    </row>
    <row r="215" spans="1:14">
      <c r="A215" s="8">
        <v>40102</v>
      </c>
      <c r="B215" s="4">
        <v>24.4</v>
      </c>
      <c r="C215" s="4">
        <v>14.1</v>
      </c>
      <c r="D215" s="4">
        <v>3.94</v>
      </c>
      <c r="E215" s="4">
        <v>9</v>
      </c>
      <c r="F215" s="4">
        <v>10.199999999999999</v>
      </c>
      <c r="G215" s="4">
        <v>19.8</v>
      </c>
      <c r="I215" s="4">
        <v>4.1847109935500504E-2</v>
      </c>
      <c r="J215" s="4">
        <v>3.6105004642116356E-2</v>
      </c>
      <c r="K215" s="4">
        <v>9.0246877847778031E-2</v>
      </c>
      <c r="L215" s="4">
        <v>4.5462374076757413E-2</v>
      </c>
      <c r="M215" s="4">
        <v>7.6372978784573956E-2</v>
      </c>
      <c r="N215" s="4">
        <v>7.3331273085549722E-2</v>
      </c>
    </row>
    <row r="216" spans="1:14">
      <c r="A216" s="8">
        <v>40105</v>
      </c>
      <c r="B216" s="4">
        <v>25</v>
      </c>
      <c r="C216" s="4">
        <v>14.4</v>
      </c>
      <c r="D216" s="4">
        <v>3.94</v>
      </c>
      <c r="E216" s="4">
        <v>9.5500000000000007</v>
      </c>
      <c r="F216" s="4">
        <v>10.3</v>
      </c>
      <c r="G216" s="4">
        <v>20.9</v>
      </c>
      <c r="I216" s="4">
        <v>2.4292692569044701E-2</v>
      </c>
      <c r="J216" s="4">
        <v>2.1053409197832482E-2</v>
      </c>
      <c r="K216" s="4">
        <v>0</v>
      </c>
      <c r="L216" s="4">
        <v>5.9316577156419505E-2</v>
      </c>
      <c r="M216" s="4">
        <v>9.7561749453648743E-3</v>
      </c>
      <c r="N216" s="4">
        <v>5.4067221270275578E-2</v>
      </c>
    </row>
    <row r="217" spans="1:14">
      <c r="A217" s="8">
        <v>40106</v>
      </c>
      <c r="B217" s="4">
        <v>24.8</v>
      </c>
      <c r="C217" s="4">
        <v>14.6</v>
      </c>
      <c r="D217" s="4">
        <v>3.94</v>
      </c>
      <c r="E217" s="4">
        <v>9.35</v>
      </c>
      <c r="F217" s="4">
        <v>10.6</v>
      </c>
      <c r="G217" s="4">
        <v>20.6</v>
      </c>
      <c r="I217" s="4">
        <v>-8.0321716972642666E-3</v>
      </c>
      <c r="J217" s="4">
        <v>1.3793322132335769E-2</v>
      </c>
      <c r="K217" s="4">
        <v>0</v>
      </c>
      <c r="L217" s="4">
        <v>-2.1164811192043383E-2</v>
      </c>
      <c r="M217" s="4">
        <v>2.871010588243136E-2</v>
      </c>
      <c r="N217" s="4">
        <v>-1.4458083175229775E-2</v>
      </c>
    </row>
    <row r="218" spans="1:14">
      <c r="A218" s="8">
        <v>40107</v>
      </c>
      <c r="B218" s="4">
        <v>24.8</v>
      </c>
      <c r="C218" s="4">
        <v>15.4</v>
      </c>
      <c r="D218" s="4">
        <v>3.92</v>
      </c>
      <c r="E218" s="4">
        <v>9.1</v>
      </c>
      <c r="F218" s="4">
        <v>10.3</v>
      </c>
      <c r="G218" s="4">
        <v>20.399999999999999</v>
      </c>
      <c r="I218" s="4">
        <v>0</v>
      </c>
      <c r="J218" s="4">
        <v>5.3345980705292714E-2</v>
      </c>
      <c r="K218" s="4">
        <v>-5.0890695074712932E-3</v>
      </c>
      <c r="L218" s="4">
        <v>-2.7101929777791269E-2</v>
      </c>
      <c r="M218" s="4">
        <v>-2.8710105882431253E-2</v>
      </c>
      <c r="N218" s="4">
        <v>-9.756174945364798E-3</v>
      </c>
    </row>
    <row r="219" spans="1:14">
      <c r="A219" s="8">
        <v>40108</v>
      </c>
      <c r="B219" s="4">
        <v>23.9</v>
      </c>
      <c r="C219" s="4">
        <v>15.2</v>
      </c>
      <c r="D219" s="4">
        <v>3.84</v>
      </c>
      <c r="E219" s="4">
        <v>8.9</v>
      </c>
      <c r="F219" s="4">
        <v>10.1</v>
      </c>
      <c r="G219" s="4">
        <v>20.2</v>
      </c>
      <c r="I219" s="4">
        <v>-3.6965194233471589E-2</v>
      </c>
      <c r="J219" s="4">
        <v>-1.3072081567352888E-2</v>
      </c>
      <c r="K219" s="4">
        <v>-2.0619287202735703E-2</v>
      </c>
      <c r="L219" s="4">
        <v>-2.2223136784710124E-2</v>
      </c>
      <c r="M219" s="4">
        <v>-1.9608471388376424E-2</v>
      </c>
      <c r="N219" s="4">
        <v>-9.8522964430115944E-3</v>
      </c>
    </row>
    <row r="220" spans="1:14">
      <c r="A220" s="8">
        <v>40112</v>
      </c>
      <c r="B220" s="4">
        <v>23.8</v>
      </c>
      <c r="C220" s="4">
        <v>15.4</v>
      </c>
      <c r="D220" s="4">
        <v>3.88</v>
      </c>
      <c r="E220" s="4">
        <v>9.1</v>
      </c>
      <c r="F220" s="4">
        <v>10.1</v>
      </c>
      <c r="G220" s="4">
        <v>20.3</v>
      </c>
      <c r="I220" s="4">
        <v>-4.1928782600359274E-3</v>
      </c>
      <c r="J220" s="4">
        <v>1.3072081567352921E-2</v>
      </c>
      <c r="K220" s="4">
        <v>1.0362787035546658E-2</v>
      </c>
      <c r="L220" s="4">
        <v>2.2223136784710041E-2</v>
      </c>
      <c r="M220" s="4">
        <v>0</v>
      </c>
      <c r="N220" s="4">
        <v>4.9382816405825767E-3</v>
      </c>
    </row>
    <row r="221" spans="1:14">
      <c r="A221" s="8">
        <v>40113</v>
      </c>
      <c r="B221" s="4">
        <v>24</v>
      </c>
      <c r="C221" s="4">
        <v>16.2</v>
      </c>
      <c r="D221" s="4">
        <v>3.96</v>
      </c>
      <c r="E221" s="4">
        <v>9.65</v>
      </c>
      <c r="F221" s="4">
        <v>10.199999999999999</v>
      </c>
      <c r="G221" s="4">
        <v>20.7</v>
      </c>
      <c r="I221" s="4">
        <v>8.3682496705165792E-3</v>
      </c>
      <c r="J221" s="4">
        <v>5.0643732818754936E-2</v>
      </c>
      <c r="K221" s="4">
        <v>2.0408871631207033E-2</v>
      </c>
      <c r="L221" s="4">
        <v>5.8683501828090207E-2</v>
      </c>
      <c r="M221" s="4">
        <v>9.8522964430116395E-3</v>
      </c>
      <c r="N221" s="4">
        <v>1.9512814223581719E-2</v>
      </c>
    </row>
    <row r="222" spans="1:14">
      <c r="A222" s="8">
        <v>40114</v>
      </c>
      <c r="B222" s="4">
        <v>23.7</v>
      </c>
      <c r="C222" s="4">
        <v>16.2</v>
      </c>
      <c r="D222" s="4">
        <v>3.9</v>
      </c>
      <c r="E222" s="4">
        <v>9.25</v>
      </c>
      <c r="F222" s="4">
        <v>9.9499999999999993</v>
      </c>
      <c r="G222" s="4">
        <v>20.3</v>
      </c>
      <c r="I222" s="4">
        <v>-1.2578782206860185E-2</v>
      </c>
      <c r="J222" s="4">
        <v>0</v>
      </c>
      <c r="K222" s="4">
        <v>-1.5267472130788421E-2</v>
      </c>
      <c r="L222" s="4">
        <v>-4.2334363826560771E-2</v>
      </c>
      <c r="M222" s="4">
        <v>-2.481516911972402E-2</v>
      </c>
      <c r="N222" s="4">
        <v>-1.9512814223581715E-2</v>
      </c>
    </row>
    <row r="223" spans="1:14">
      <c r="A223" s="8">
        <v>40115</v>
      </c>
      <c r="B223" s="4">
        <v>23.3</v>
      </c>
      <c r="C223" s="4">
        <v>16</v>
      </c>
      <c r="D223" s="4">
        <v>3.82</v>
      </c>
      <c r="E223" s="4">
        <v>9.5</v>
      </c>
      <c r="F223" s="4">
        <v>9.8000000000000007</v>
      </c>
      <c r="G223" s="4">
        <v>19.899999999999999</v>
      </c>
      <c r="I223" s="4">
        <v>-1.7021687569430524E-2</v>
      </c>
      <c r="J223" s="4">
        <v>-1.2422519998557096E-2</v>
      </c>
      <c r="K223" s="4">
        <v>-2.072613051711697E-2</v>
      </c>
      <c r="L223" s="4">
        <v>2.6668247082161273E-2</v>
      </c>
      <c r="M223" s="4">
        <v>-1.5190165493975007E-2</v>
      </c>
      <c r="N223" s="4">
        <v>-1.9901154317295024E-2</v>
      </c>
    </row>
    <row r="224" spans="1:14">
      <c r="A224" s="8">
        <v>40116</v>
      </c>
      <c r="B224" s="4">
        <v>23.7</v>
      </c>
      <c r="C224" s="4">
        <v>15.6</v>
      </c>
      <c r="D224" s="4">
        <v>3.78</v>
      </c>
      <c r="E224" s="4">
        <v>9.65</v>
      </c>
      <c r="F224" s="4">
        <v>9.6</v>
      </c>
      <c r="G224" s="4">
        <v>19.7</v>
      </c>
      <c r="I224" s="4">
        <v>1.7021687569430524E-2</v>
      </c>
      <c r="J224" s="4">
        <v>-2.5317807984289897E-2</v>
      </c>
      <c r="K224" s="4">
        <v>-1.0526412986987504E-2</v>
      </c>
      <c r="L224" s="4">
        <v>1.5666116744399456E-2</v>
      </c>
      <c r="M224" s="4">
        <v>-2.0619287202735818E-2</v>
      </c>
      <c r="N224" s="4">
        <v>-1.0101095986503821E-2</v>
      </c>
    </row>
    <row r="225" spans="1:14">
      <c r="A225" s="8">
        <v>40119</v>
      </c>
      <c r="B225" s="4">
        <v>23.2</v>
      </c>
      <c r="C225" s="4">
        <v>15.3</v>
      </c>
      <c r="D225" s="4">
        <v>3.72</v>
      </c>
      <c r="E225" s="4">
        <v>9.5</v>
      </c>
      <c r="F225" s="4">
        <v>9.4</v>
      </c>
      <c r="G225" s="4">
        <v>19.399999999999999</v>
      </c>
      <c r="I225" s="4">
        <v>-2.1322769468821192E-2</v>
      </c>
      <c r="J225" s="4">
        <v>-1.9418085857101513E-2</v>
      </c>
      <c r="K225" s="4">
        <v>-1.6000341346441075E-2</v>
      </c>
      <c r="L225" s="4">
        <v>-1.5666116744399463E-2</v>
      </c>
      <c r="M225" s="4">
        <v>-2.1053409197832267E-2</v>
      </c>
      <c r="N225" s="4">
        <v>-1.5345569674660421E-2</v>
      </c>
    </row>
    <row r="226" spans="1:14">
      <c r="A226" s="8">
        <v>40120</v>
      </c>
      <c r="B226" s="4">
        <v>22.9</v>
      </c>
      <c r="C226" s="4">
        <v>15.4</v>
      </c>
      <c r="D226" s="4">
        <v>3.86</v>
      </c>
      <c r="E226" s="4">
        <v>9.3000000000000007</v>
      </c>
      <c r="F226" s="4">
        <v>8.9</v>
      </c>
      <c r="G226" s="4">
        <v>19</v>
      </c>
      <c r="I226" s="4">
        <v>-1.3015368112070361E-2</v>
      </c>
      <c r="J226" s="4">
        <v>6.5146810211936723E-3</v>
      </c>
      <c r="K226" s="4">
        <v>3.6943515191684276E-2</v>
      </c>
      <c r="L226" s="4">
        <v>-2.1277398447284851E-2</v>
      </c>
      <c r="M226" s="4">
        <v>-5.4658412537864083E-2</v>
      </c>
      <c r="N226" s="4">
        <v>-2.0834086902841914E-2</v>
      </c>
    </row>
    <row r="227" spans="1:14">
      <c r="A227" s="8">
        <v>40121</v>
      </c>
      <c r="B227" s="4">
        <v>23.4</v>
      </c>
      <c r="C227" s="4">
        <v>15.5</v>
      </c>
      <c r="D227" s="4">
        <v>4.0199999999999996</v>
      </c>
      <c r="E227" s="4">
        <v>9.5</v>
      </c>
      <c r="F227" s="4">
        <v>9.35</v>
      </c>
      <c r="G227" s="4">
        <v>19.600000000000001</v>
      </c>
      <c r="I227" s="4">
        <v>2.1599111803461721E-2</v>
      </c>
      <c r="J227" s="4">
        <v>6.4725145056175196E-3</v>
      </c>
      <c r="K227" s="4">
        <v>4.0614719154190126E-2</v>
      </c>
      <c r="L227" s="4">
        <v>2.1277398447284879E-2</v>
      </c>
      <c r="M227" s="4">
        <v>4.9325066562501491E-2</v>
      </c>
      <c r="N227" s="4">
        <v>3.1090587070031182E-2</v>
      </c>
    </row>
    <row r="228" spans="1:14">
      <c r="A228" s="8">
        <v>40122</v>
      </c>
      <c r="B228" s="4">
        <v>23.2</v>
      </c>
      <c r="C228" s="4">
        <v>15.4</v>
      </c>
      <c r="D228" s="4">
        <v>4.38</v>
      </c>
      <c r="E228" s="4">
        <v>9.4</v>
      </c>
      <c r="F228" s="4">
        <v>9.1999999999999993</v>
      </c>
      <c r="G228" s="4">
        <v>19.5</v>
      </c>
      <c r="I228" s="4">
        <v>-8.5837436913914419E-3</v>
      </c>
      <c r="J228" s="4">
        <v>-6.4725145056174788E-3</v>
      </c>
      <c r="K228" s="4">
        <v>8.5766821757425102E-2</v>
      </c>
      <c r="L228" s="4">
        <v>-1.0582109330536859E-2</v>
      </c>
      <c r="M228" s="4">
        <v>-1.6172859245601072E-2</v>
      </c>
      <c r="N228" s="4">
        <v>-5.1151006667704887E-3</v>
      </c>
    </row>
    <row r="229" spans="1:14">
      <c r="A229" s="8">
        <v>40123</v>
      </c>
      <c r="B229" s="4">
        <v>23.5</v>
      </c>
      <c r="C229" s="4">
        <v>15.6</v>
      </c>
      <c r="D229" s="4">
        <v>4.34</v>
      </c>
      <c r="E229" s="4">
        <v>9.5500000000000007</v>
      </c>
      <c r="F229" s="4">
        <v>9.65</v>
      </c>
      <c r="G229" s="4">
        <v>20.100000000000001</v>
      </c>
      <c r="I229" s="4">
        <v>1.2848142477849059E-2</v>
      </c>
      <c r="J229" s="4">
        <v>1.2903404835907782E-2</v>
      </c>
      <c r="K229" s="4">
        <v>-9.1743762760412694E-3</v>
      </c>
      <c r="L229" s="4">
        <v>1.5831465216680662E-2</v>
      </c>
      <c r="M229" s="4">
        <v>4.7754431295900034E-2</v>
      </c>
      <c r="N229" s="4">
        <v>3.0305349495329058E-2</v>
      </c>
    </row>
    <row r="230" spans="1:14">
      <c r="A230" s="8">
        <v>40126</v>
      </c>
      <c r="B230" s="4">
        <v>23.8</v>
      </c>
      <c r="C230" s="4">
        <v>15.5</v>
      </c>
      <c r="D230" s="4">
        <v>4.26</v>
      </c>
      <c r="E230" s="4">
        <v>9.8000000000000007</v>
      </c>
      <c r="F230" s="4">
        <v>10</v>
      </c>
      <c r="G230" s="4">
        <v>20.2</v>
      </c>
      <c r="I230" s="4">
        <v>1.2685159527315861E-2</v>
      </c>
      <c r="J230" s="4">
        <v>-6.4308903302904025E-3</v>
      </c>
      <c r="K230" s="4">
        <v>-1.8605187831034469E-2</v>
      </c>
      <c r="L230" s="4">
        <v>2.5841231183887328E-2</v>
      </c>
      <c r="M230" s="4">
        <v>3.5627177643151035E-2</v>
      </c>
      <c r="N230" s="4">
        <v>4.962789342128876E-3</v>
      </c>
    </row>
    <row r="231" spans="1:14">
      <c r="A231" s="8">
        <v>40127</v>
      </c>
      <c r="B231" s="4">
        <v>24.5</v>
      </c>
      <c r="C231" s="4">
        <v>15.4</v>
      </c>
      <c r="D231" s="4">
        <v>4.26</v>
      </c>
      <c r="E231" s="4">
        <v>9.6999999999999993</v>
      </c>
      <c r="F231" s="4">
        <v>9.6999999999999993</v>
      </c>
      <c r="G231" s="4">
        <v>19.899999999999999</v>
      </c>
      <c r="I231" s="4">
        <v>2.8987536873252187E-2</v>
      </c>
      <c r="J231" s="4">
        <v>-6.4725145056174788E-3</v>
      </c>
      <c r="K231" s="4">
        <v>0</v>
      </c>
      <c r="L231" s="4">
        <v>-1.0256500167189221E-2</v>
      </c>
      <c r="M231" s="4">
        <v>-3.0459207484708574E-2</v>
      </c>
      <c r="N231" s="4">
        <v>-1.4962872676712377E-2</v>
      </c>
    </row>
    <row r="232" spans="1:14">
      <c r="A232" s="8">
        <v>40128</v>
      </c>
      <c r="B232" s="4">
        <v>24.7</v>
      </c>
      <c r="C232" s="4">
        <v>15.7</v>
      </c>
      <c r="D232" s="4">
        <v>4.16</v>
      </c>
      <c r="E232" s="4">
        <v>10.199999999999999</v>
      </c>
      <c r="F232" s="4">
        <v>9.8000000000000007</v>
      </c>
      <c r="G232" s="4">
        <v>20.2</v>
      </c>
      <c r="I232" s="4">
        <v>8.1301260832500888E-3</v>
      </c>
      <c r="J232" s="4">
        <v>1.9293202934678851E-2</v>
      </c>
      <c r="K232" s="4">
        <v>-2.375408600810703E-2</v>
      </c>
      <c r="L232" s="4">
        <v>5.0261834780888297E-2</v>
      </c>
      <c r="M232" s="4">
        <v>1.0256500167189282E-2</v>
      </c>
      <c r="N232" s="4">
        <v>1.496287267671232E-2</v>
      </c>
    </row>
    <row r="233" spans="1:14">
      <c r="A233" s="8">
        <v>40129</v>
      </c>
      <c r="B233" s="4">
        <v>23.9</v>
      </c>
      <c r="C233" s="4">
        <v>15.9</v>
      </c>
      <c r="D233" s="4">
        <v>4.2</v>
      </c>
      <c r="E233" s="4">
        <v>10.199999999999999</v>
      </c>
      <c r="F233" s="4">
        <v>9.35</v>
      </c>
      <c r="G233" s="4">
        <v>19.600000000000001</v>
      </c>
      <c r="I233" s="4">
        <v>-3.2924784696466612E-2</v>
      </c>
      <c r="J233" s="4">
        <v>1.2658396871923465E-2</v>
      </c>
      <c r="K233" s="4">
        <v>9.5694510161506725E-3</v>
      </c>
      <c r="L233" s="4">
        <v>0</v>
      </c>
      <c r="M233" s="4">
        <v>-4.7006042375930715E-2</v>
      </c>
      <c r="N233" s="4">
        <v>-3.0153038170687443E-2</v>
      </c>
    </row>
    <row r="234" spans="1:14">
      <c r="A234" s="8">
        <v>40130</v>
      </c>
      <c r="B234" s="4">
        <v>24.3</v>
      </c>
      <c r="C234" s="4">
        <v>16.2</v>
      </c>
      <c r="D234" s="4">
        <v>4.0999999999999996</v>
      </c>
      <c r="E234" s="4">
        <v>10.9</v>
      </c>
      <c r="F234" s="4">
        <v>9.3000000000000007</v>
      </c>
      <c r="G234" s="4">
        <v>19.600000000000001</v>
      </c>
      <c r="I234" s="4">
        <v>1.6597891409037831E-2</v>
      </c>
      <c r="J234" s="4">
        <v>1.8692133012152546E-2</v>
      </c>
      <c r="K234" s="4">
        <v>-2.4097551579060641E-2</v>
      </c>
      <c r="L234" s="4">
        <v>6.63750689448728E-2</v>
      </c>
      <c r="M234" s="4">
        <v>-5.3619431413852872E-3</v>
      </c>
      <c r="N234" s="4">
        <v>0</v>
      </c>
    </row>
    <row r="235" spans="1:14">
      <c r="A235" s="8">
        <v>40133</v>
      </c>
      <c r="B235" s="4">
        <v>24.4</v>
      </c>
      <c r="C235" s="4">
        <v>15.9</v>
      </c>
      <c r="D235" s="4">
        <v>3.9</v>
      </c>
      <c r="E235" s="4">
        <v>11.6</v>
      </c>
      <c r="F235" s="4">
        <v>9.35</v>
      </c>
      <c r="G235" s="4">
        <v>19.8</v>
      </c>
      <c r="I235" s="4">
        <v>4.1067819526532812E-3</v>
      </c>
      <c r="J235" s="4">
        <v>-1.8692133012152522E-2</v>
      </c>
      <c r="K235" s="4">
        <v>-5.0010420574661305E-2</v>
      </c>
      <c r="L235" s="4">
        <v>6.2242308877220792E-2</v>
      </c>
      <c r="M235" s="4">
        <v>5.3619431413853731E-3</v>
      </c>
      <c r="N235" s="4">
        <v>1.0152371464017908E-2</v>
      </c>
    </row>
    <row r="236" spans="1:14">
      <c r="A236" s="8">
        <v>40134</v>
      </c>
      <c r="B236" s="4">
        <v>24.5</v>
      </c>
      <c r="C236" s="4">
        <v>15.8</v>
      </c>
      <c r="D236" s="4">
        <v>3.98</v>
      </c>
      <c r="E236" s="4">
        <v>11.3</v>
      </c>
      <c r="F236" s="4">
        <v>9.25</v>
      </c>
      <c r="G236" s="4">
        <v>19.899999999999999</v>
      </c>
      <c r="I236" s="4">
        <v>4.0899852515250664E-3</v>
      </c>
      <c r="J236" s="4">
        <v>-6.309169193264721E-3</v>
      </c>
      <c r="K236" s="4">
        <v>2.0305266160745523E-2</v>
      </c>
      <c r="L236" s="4">
        <v>-2.6202372394023961E-2</v>
      </c>
      <c r="M236" s="4">
        <v>-1.0752791776261737E-2</v>
      </c>
      <c r="N236" s="4">
        <v>5.037794029957081E-3</v>
      </c>
    </row>
    <row r="237" spans="1:14">
      <c r="A237" s="8">
        <v>40135</v>
      </c>
      <c r="B237" s="4">
        <v>24.4</v>
      </c>
      <c r="C237" s="4">
        <v>16.100000000000001</v>
      </c>
      <c r="D237" s="4">
        <v>3.98</v>
      </c>
      <c r="E237" s="4">
        <v>11</v>
      </c>
      <c r="F237" s="4">
        <v>9.1999999999999993</v>
      </c>
      <c r="G237" s="4">
        <v>20.7</v>
      </c>
      <c r="I237" s="4">
        <v>-4.0899852515251661E-3</v>
      </c>
      <c r="J237" s="4">
        <v>1.8809331957496293E-2</v>
      </c>
      <c r="K237" s="4">
        <v>0</v>
      </c>
      <c r="L237" s="4">
        <v>-2.6907452919924382E-2</v>
      </c>
      <c r="M237" s="4">
        <v>-5.4200674693392556E-3</v>
      </c>
      <c r="N237" s="4">
        <v>3.9413968540876629E-2</v>
      </c>
    </row>
    <row r="238" spans="1:14">
      <c r="A238" s="8">
        <v>40136</v>
      </c>
      <c r="B238" s="4">
        <v>24.1</v>
      </c>
      <c r="C238" s="4">
        <v>16.100000000000001</v>
      </c>
      <c r="D238" s="4">
        <v>3.9</v>
      </c>
      <c r="E238" s="4">
        <v>10.9</v>
      </c>
      <c r="F238" s="4">
        <v>9.1</v>
      </c>
      <c r="G238" s="4">
        <v>20.2</v>
      </c>
      <c r="I238" s="4">
        <v>-1.2371291802546718E-2</v>
      </c>
      <c r="J238" s="4">
        <v>0</v>
      </c>
      <c r="K238" s="4">
        <v>-2.0305266160745569E-2</v>
      </c>
      <c r="L238" s="4">
        <v>-9.1324835632724741E-3</v>
      </c>
      <c r="M238" s="4">
        <v>-1.0929070532190206E-2</v>
      </c>
      <c r="N238" s="4">
        <v>-2.4451095864164309E-2</v>
      </c>
    </row>
    <row r="239" spans="1:14">
      <c r="A239" s="8">
        <v>40137</v>
      </c>
      <c r="B239" s="4">
        <v>24.4</v>
      </c>
      <c r="C239" s="4">
        <v>16.100000000000001</v>
      </c>
      <c r="D239" s="4">
        <v>3.82</v>
      </c>
      <c r="E239" s="4">
        <v>10.7</v>
      </c>
      <c r="F239" s="4">
        <v>9.0500000000000007</v>
      </c>
      <c r="G239" s="4">
        <v>20.3</v>
      </c>
      <c r="I239" s="4">
        <v>1.2371291802546829E-2</v>
      </c>
      <c r="J239" s="4">
        <v>0</v>
      </c>
      <c r="K239" s="4">
        <v>-2.072613051711697E-2</v>
      </c>
      <c r="L239" s="4">
        <v>-1.8519047767237642E-2</v>
      </c>
      <c r="M239" s="4">
        <v>-5.5096558109694726E-3</v>
      </c>
      <c r="N239" s="4">
        <v>4.9382816405825767E-3</v>
      </c>
    </row>
    <row r="240" spans="1:14">
      <c r="A240" s="8">
        <v>40140</v>
      </c>
      <c r="B240" s="4">
        <v>24.3</v>
      </c>
      <c r="C240" s="4">
        <v>15.9</v>
      </c>
      <c r="D240" s="4">
        <v>4.12</v>
      </c>
      <c r="E240" s="4">
        <v>10.6</v>
      </c>
      <c r="F240" s="4">
        <v>8.85</v>
      </c>
      <c r="G240" s="4">
        <v>20</v>
      </c>
      <c r="I240" s="4">
        <v>-4.1067819526533593E-3</v>
      </c>
      <c r="J240" s="4">
        <v>-1.2500162764231494E-2</v>
      </c>
      <c r="K240" s="4">
        <v>7.5602740742951341E-2</v>
      </c>
      <c r="L240" s="4">
        <v>-9.3897403498390316E-3</v>
      </c>
      <c r="M240" s="4">
        <v>-2.2347298691996774E-2</v>
      </c>
      <c r="N240" s="4">
        <v>-1.4888612493750637E-2</v>
      </c>
    </row>
    <row r="241" spans="1:14">
      <c r="A241" s="8">
        <v>40141</v>
      </c>
      <c r="B241" s="4">
        <v>24.5</v>
      </c>
      <c r="C241" s="4">
        <v>15.5</v>
      </c>
      <c r="D241" s="4">
        <v>3.88</v>
      </c>
      <c r="E241" s="4">
        <v>10.5</v>
      </c>
      <c r="F241" s="4">
        <v>8.6</v>
      </c>
      <c r="G241" s="4">
        <v>19.600000000000001</v>
      </c>
      <c r="I241" s="4">
        <v>8.1967672041784907E-3</v>
      </c>
      <c r="J241" s="4">
        <v>-2.5479085300984899E-2</v>
      </c>
      <c r="K241" s="4">
        <v>-6.0018009726253041E-2</v>
      </c>
      <c r="L241" s="4">
        <v>-9.47874395454377E-3</v>
      </c>
      <c r="M241" s="4">
        <v>-2.8655255760376062E-2</v>
      </c>
      <c r="N241" s="4">
        <v>-2.0202707317519355E-2</v>
      </c>
    </row>
    <row r="242" spans="1:14">
      <c r="A242" s="8">
        <v>40142</v>
      </c>
      <c r="B242" s="4">
        <v>26</v>
      </c>
      <c r="C242" s="4">
        <v>15.7</v>
      </c>
      <c r="D242" s="4">
        <v>4.0599999999999996</v>
      </c>
      <c r="E242" s="4">
        <v>10.8</v>
      </c>
      <c r="F242" s="4">
        <v>9.15</v>
      </c>
      <c r="G242" s="4">
        <v>20.2</v>
      </c>
      <c r="I242" s="4">
        <v>5.9423420470800806E-2</v>
      </c>
      <c r="J242" s="4">
        <v>1.2820688429061469E-2</v>
      </c>
      <c r="K242" s="4">
        <v>4.5347819978459041E-2</v>
      </c>
      <c r="L242" s="4">
        <v>2.8170876966696439E-2</v>
      </c>
      <c r="M242" s="4">
        <v>6.1991676027968005E-2</v>
      </c>
      <c r="N242" s="4">
        <v>3.0153038170687457E-2</v>
      </c>
    </row>
    <row r="243" spans="1:14">
      <c r="A243" s="8">
        <v>40143</v>
      </c>
      <c r="B243" s="4">
        <v>27</v>
      </c>
      <c r="C243" s="4">
        <v>15.7</v>
      </c>
      <c r="D243" s="4">
        <v>3.92</v>
      </c>
      <c r="E243" s="4">
        <v>10.4</v>
      </c>
      <c r="F243" s="4">
        <v>8.8000000000000007</v>
      </c>
      <c r="G243" s="4">
        <v>20.7</v>
      </c>
      <c r="I243" s="4">
        <v>3.7740327982847113E-2</v>
      </c>
      <c r="J243" s="4">
        <v>0</v>
      </c>
      <c r="K243" s="4">
        <v>-3.5091319811270061E-2</v>
      </c>
      <c r="L243" s="4">
        <v>-3.7740327982847086E-2</v>
      </c>
      <c r="M243" s="4">
        <v>-3.9002157803269086E-2</v>
      </c>
      <c r="N243" s="4">
        <v>2.4451095864164336E-2</v>
      </c>
    </row>
    <row r="244" spans="1:14">
      <c r="A244" s="8">
        <v>40144</v>
      </c>
      <c r="B244" s="4">
        <v>28</v>
      </c>
      <c r="C244" s="4">
        <v>15.6</v>
      </c>
      <c r="D244" s="4">
        <v>3.98</v>
      </c>
      <c r="E244" s="4">
        <v>10.199999999999999</v>
      </c>
      <c r="F244" s="4">
        <v>8.6</v>
      </c>
      <c r="G244" s="4">
        <v>21.1</v>
      </c>
      <c r="I244" s="4">
        <v>3.6367644170874791E-2</v>
      </c>
      <c r="J244" s="4">
        <v>-6.38979809877101E-3</v>
      </c>
      <c r="K244" s="4">
        <v>1.5190165493975238E-2</v>
      </c>
      <c r="L244" s="4">
        <v>-1.9418085857101738E-2</v>
      </c>
      <c r="M244" s="4">
        <v>-2.2989518224698833E-2</v>
      </c>
      <c r="N244" s="4">
        <v>1.9139340210697506E-2</v>
      </c>
    </row>
    <row r="245" spans="1:14">
      <c r="A245" s="8">
        <v>40147</v>
      </c>
      <c r="B245" s="4">
        <v>28.75</v>
      </c>
      <c r="C245" s="4">
        <v>15.8</v>
      </c>
      <c r="D245" s="4">
        <v>3.9</v>
      </c>
      <c r="E245" s="4">
        <v>10.7</v>
      </c>
      <c r="F245" s="4">
        <v>8.65</v>
      </c>
      <c r="G245" s="4">
        <v>21.9</v>
      </c>
      <c r="I245" s="4">
        <v>2.6433257068155431E-2</v>
      </c>
      <c r="J245" s="4">
        <v>1.2739025777429932E-2</v>
      </c>
      <c r="K245" s="4">
        <v>-2.0305266160745569E-2</v>
      </c>
      <c r="L245" s="4">
        <v>4.7856021177635141E-2</v>
      </c>
      <c r="M245" s="4">
        <v>5.7971176843259146E-3</v>
      </c>
      <c r="N245" s="4">
        <v>3.7213596340434273E-2</v>
      </c>
    </row>
  </sheetData>
  <dataConsolidate/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  <controls>
    <control shapeId="4097" r:id="rId3" name="CalReturn"/>
    <control shapeId="4098" r:id="rId4" name="Clear"/>
    <control shapeId="4099" r:id="rId5" name="PortOp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M32"/>
  <sheetViews>
    <sheetView topLeftCell="A10" workbookViewId="0">
      <selection activeCell="L4" sqref="L4"/>
    </sheetView>
  </sheetViews>
  <sheetFormatPr defaultRowHeight="12.75"/>
  <cols>
    <col min="1" max="1" width="18.7109375" style="4" bestFit="1" customWidth="1"/>
    <col min="2" max="16384" width="9.140625" style="4"/>
  </cols>
  <sheetData>
    <row r="1" spans="1:11" ht="25.5">
      <c r="A1" s="3" t="s">
        <v>11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11">
      <c r="A2" s="5" t="s">
        <v>9</v>
      </c>
      <c r="B2" s="4">
        <v>6.0808599926073419E-3</v>
      </c>
      <c r="C2" s="4">
        <v>6.3238404502413536E-3</v>
      </c>
      <c r="D2" s="4">
        <v>5.4618009916624737E-3</v>
      </c>
      <c r="E2" s="4">
        <v>5.539769935069023E-3</v>
      </c>
      <c r="F2" s="4">
        <v>5.2636023998974945E-3</v>
      </c>
      <c r="G2" s="4">
        <v>4.8941285554774177E-3</v>
      </c>
      <c r="K2" s="18" t="s">
        <v>26</v>
      </c>
    </row>
    <row r="3" spans="1:11">
      <c r="A3" s="5" t="s">
        <v>10</v>
      </c>
      <c r="B3" s="4">
        <v>3.2806039906552661E-2</v>
      </c>
      <c r="C3" s="4">
        <v>3.5568418819438452E-2</v>
      </c>
      <c r="D3" s="4">
        <v>3.581908397105224E-2</v>
      </c>
      <c r="E3" s="4">
        <v>2.2163744675199392E-2</v>
      </c>
      <c r="F3" s="4">
        <v>4.0150279823980062E-2</v>
      </c>
      <c r="G3" s="4">
        <v>2.4288729476878376E-2</v>
      </c>
    </row>
    <row r="5" spans="1:11" ht="25.5">
      <c r="A5" s="3" t="s">
        <v>12</v>
      </c>
      <c r="B5" s="1" t="s">
        <v>3</v>
      </c>
      <c r="C5" s="1" t="s">
        <v>4</v>
      </c>
      <c r="D5" s="1" t="s">
        <v>5</v>
      </c>
      <c r="E5" s="1" t="s">
        <v>6</v>
      </c>
      <c r="F5" s="1" t="s">
        <v>7</v>
      </c>
      <c r="G5" s="1" t="s">
        <v>8</v>
      </c>
    </row>
    <row r="6" spans="1:11">
      <c r="A6" s="5" t="s">
        <v>3</v>
      </c>
      <c r="B6" s="4">
        <v>1.0717889971009441E-3</v>
      </c>
      <c r="C6" s="4">
        <v>3.5581249468976463E-4</v>
      </c>
      <c r="D6" s="4">
        <v>2.3417145731841556E-4</v>
      </c>
      <c r="E6" s="4">
        <v>2.1517722113443665E-4</v>
      </c>
      <c r="F6" s="4">
        <v>4.0755245852461123E-4</v>
      </c>
      <c r="G6" s="4">
        <v>4.6477258910594877E-4</v>
      </c>
    </row>
    <row r="7" spans="1:11">
      <c r="A7" s="5" t="s">
        <v>4</v>
      </c>
      <c r="B7" s="4">
        <v>3.5581249468976463E-4</v>
      </c>
      <c r="C7" s="4">
        <v>1.2598846800533508E-3</v>
      </c>
      <c r="D7" s="4">
        <v>3.3867843894079785E-4</v>
      </c>
      <c r="E7" s="4">
        <v>1.6534025817296463E-4</v>
      </c>
      <c r="F7" s="4">
        <v>4.7241101625910853E-4</v>
      </c>
      <c r="G7" s="4">
        <v>3.94977110008764E-4</v>
      </c>
    </row>
    <row r="8" spans="1:11">
      <c r="A8" s="5" t="s">
        <v>4</v>
      </c>
      <c r="B8" s="4">
        <v>2.3417145731841556E-4</v>
      </c>
      <c r="C8" s="4">
        <v>3.3867843894079785E-4</v>
      </c>
      <c r="D8" s="4">
        <v>1.2777050956305578E-3</v>
      </c>
      <c r="E8" s="4">
        <v>1.5278007235044211E-4</v>
      </c>
      <c r="F8" s="4">
        <v>3.5902653560663562E-4</v>
      </c>
      <c r="G8" s="4">
        <v>2.2674219365986412E-4</v>
      </c>
      <c r="K8" s="18" t="s">
        <v>27</v>
      </c>
    </row>
    <row r="9" spans="1:11">
      <c r="A9" s="5" t="s">
        <v>6</v>
      </c>
      <c r="B9" s="4">
        <v>2.1517722113443665E-4</v>
      </c>
      <c r="C9" s="4">
        <v>1.6534025817296463E-4</v>
      </c>
      <c r="D9" s="4">
        <v>1.5278007235044211E-4</v>
      </c>
      <c r="E9" s="4">
        <v>4.8920169547359677E-4</v>
      </c>
      <c r="F9" s="4">
        <v>2.3610760522972533E-4</v>
      </c>
      <c r="G9" s="4">
        <v>1.9476926083004795E-4</v>
      </c>
    </row>
    <row r="10" spans="1:11">
      <c r="A10" s="5" t="s">
        <v>7</v>
      </c>
      <c r="B10" s="4">
        <v>4.0755245852461123E-4</v>
      </c>
      <c r="C10" s="4">
        <v>4.7241101625910853E-4</v>
      </c>
      <c r="D10" s="4">
        <v>3.5902653560663562E-4</v>
      </c>
      <c r="E10" s="4">
        <v>2.3610760522972533E-4</v>
      </c>
      <c r="F10" s="4">
        <v>1.6053836270928919E-3</v>
      </c>
      <c r="G10" s="4">
        <v>3.2968126479369204E-4</v>
      </c>
    </row>
    <row r="11" spans="1:11">
      <c r="A11" s="5" t="s">
        <v>8</v>
      </c>
      <c r="B11" s="4">
        <v>4.6477258910594877E-4</v>
      </c>
      <c r="C11" s="4">
        <v>3.94977110008764E-4</v>
      </c>
      <c r="D11" s="4">
        <v>2.2674219365986412E-4</v>
      </c>
      <c r="E11" s="4">
        <v>1.9476926083004795E-4</v>
      </c>
      <c r="F11" s="4">
        <v>3.2968126479369204E-4</v>
      </c>
      <c r="G11" s="4">
        <v>5.8750460117287752E-4</v>
      </c>
    </row>
    <row r="13" spans="1:11" ht="25.5">
      <c r="A13" s="3" t="s">
        <v>13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</row>
    <row r="14" spans="1:11">
      <c r="A14" s="5" t="s">
        <v>3</v>
      </c>
      <c r="B14" s="4">
        <v>0.99999999999999978</v>
      </c>
      <c r="C14" s="4">
        <v>0.3061971541761862</v>
      </c>
      <c r="D14" s="4">
        <v>0.20010779115855501</v>
      </c>
      <c r="E14" s="4">
        <v>0.29716500933716206</v>
      </c>
      <c r="F14" s="4">
        <v>0.31069871384689102</v>
      </c>
      <c r="G14" s="4">
        <v>0.58570674242863952</v>
      </c>
    </row>
    <row r="15" spans="1:11">
      <c r="A15" s="5" t="s">
        <v>4</v>
      </c>
      <c r="B15" s="4">
        <v>0.3061971541761862</v>
      </c>
      <c r="C15" s="4">
        <v>1</v>
      </c>
      <c r="D15" s="4">
        <v>0.26693580950224927</v>
      </c>
      <c r="E15" s="4">
        <v>0.21060527133551268</v>
      </c>
      <c r="F15" s="4">
        <v>0.33217366958571526</v>
      </c>
      <c r="G15" s="4">
        <v>0.45909323600259905</v>
      </c>
      <c r="K15" s="18" t="s">
        <v>28</v>
      </c>
    </row>
    <row r="16" spans="1:11">
      <c r="A16" s="5" t="s">
        <v>4</v>
      </c>
      <c r="B16" s="4">
        <v>0.20010779115855501</v>
      </c>
      <c r="C16" s="4">
        <v>0.26693580950224927</v>
      </c>
      <c r="D16" s="4">
        <v>1</v>
      </c>
      <c r="E16" s="4">
        <v>0.19324462415372315</v>
      </c>
      <c r="F16" s="4">
        <v>0.25068123193560482</v>
      </c>
      <c r="G16" s="4">
        <v>0.26170462297806124</v>
      </c>
    </row>
    <row r="17" spans="1:13">
      <c r="A17" s="5" t="s">
        <v>6</v>
      </c>
      <c r="B17" s="4">
        <v>0.29716500933716206</v>
      </c>
      <c r="C17" s="4">
        <v>0.21060527133551268</v>
      </c>
      <c r="D17" s="4">
        <v>0.19324462415372315</v>
      </c>
      <c r="E17" s="4">
        <v>0.99999999999999978</v>
      </c>
      <c r="F17" s="4">
        <v>0.26642598791666827</v>
      </c>
      <c r="G17" s="4">
        <v>0.36330452173431316</v>
      </c>
    </row>
    <row r="18" spans="1:13">
      <c r="A18" s="5" t="s">
        <v>7</v>
      </c>
      <c r="B18" s="4">
        <v>0.31069871384689102</v>
      </c>
      <c r="C18" s="4">
        <v>0.33217366958571526</v>
      </c>
      <c r="D18" s="4">
        <v>0.25068123193560482</v>
      </c>
      <c r="E18" s="4">
        <v>0.26642598791666827</v>
      </c>
      <c r="F18" s="4">
        <v>0.99999999999999989</v>
      </c>
      <c r="G18" s="4">
        <v>0.33946829321609079</v>
      </c>
    </row>
    <row r="19" spans="1:13">
      <c r="A19" s="5" t="s">
        <v>8</v>
      </c>
      <c r="B19" s="4">
        <v>0.58570674242863952</v>
      </c>
      <c r="C19" s="4">
        <v>0.45909323600259905</v>
      </c>
      <c r="D19" s="4">
        <v>0.26170462297806124</v>
      </c>
      <c r="E19" s="4">
        <v>0.36330452173431316</v>
      </c>
      <c r="F19" s="4">
        <v>0.33946829321609079</v>
      </c>
      <c r="G19" s="4">
        <v>1</v>
      </c>
    </row>
    <row r="21" spans="1:13" ht="25.5">
      <c r="A21" s="3" t="s">
        <v>14</v>
      </c>
      <c r="B21" s="1" t="s">
        <v>3</v>
      </c>
      <c r="C21" s="1" t="s">
        <v>4</v>
      </c>
      <c r="D21" s="1" t="s">
        <v>5</v>
      </c>
      <c r="E21" s="1" t="s">
        <v>6</v>
      </c>
      <c r="F21" s="1" t="s">
        <v>7</v>
      </c>
      <c r="G21" s="1" t="s">
        <v>8</v>
      </c>
    </row>
    <row r="22" spans="1:13">
      <c r="A22" s="5" t="s">
        <v>3</v>
      </c>
      <c r="B22" s="4">
        <v>0.99999999999999989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</row>
    <row r="23" spans="1:13">
      <c r="A23" s="5" t="s">
        <v>4</v>
      </c>
      <c r="B23" s="4">
        <v>0.30619715417618626</v>
      </c>
      <c r="C23" s="4">
        <v>0.9519681206712779</v>
      </c>
      <c r="D23" s="4">
        <v>0</v>
      </c>
      <c r="E23" s="4">
        <v>0</v>
      </c>
      <c r="F23" s="4">
        <v>0</v>
      </c>
      <c r="G23" s="4">
        <v>0</v>
      </c>
      <c r="K23" s="18" t="s">
        <v>29</v>
      </c>
    </row>
    <row r="24" spans="1:13">
      <c r="A24" s="5" t="s">
        <v>4</v>
      </c>
      <c r="B24" s="4">
        <v>0.20010779115855504</v>
      </c>
      <c r="C24" s="4">
        <v>0.2160401896399578</v>
      </c>
      <c r="D24" s="4">
        <v>0.95565867775999147</v>
      </c>
      <c r="E24" s="4">
        <v>0</v>
      </c>
      <c r="F24" s="4">
        <v>0</v>
      </c>
      <c r="G24" s="4">
        <v>0</v>
      </c>
    </row>
    <row r="25" spans="1:13">
      <c r="A25" s="5" t="s">
        <v>6</v>
      </c>
      <c r="B25" s="4">
        <v>0.29716500933716211</v>
      </c>
      <c r="C25" s="4">
        <v>0.12564936635839044</v>
      </c>
      <c r="D25" s="4">
        <v>0.11158196966242133</v>
      </c>
      <c r="E25" s="4">
        <v>0.93992268724913408</v>
      </c>
      <c r="F25" s="4">
        <v>0</v>
      </c>
      <c r="G25" s="4">
        <v>0</v>
      </c>
    </row>
    <row r="26" spans="1:13">
      <c r="A26" s="5" t="s">
        <v>7</v>
      </c>
      <c r="B26" s="4">
        <v>0.31069871384689107</v>
      </c>
      <c r="C26" s="4">
        <v>0.24899847216779572</v>
      </c>
      <c r="D26" s="4">
        <v>0.14096489110575725</v>
      </c>
      <c r="E26" s="4">
        <v>0.13520427050475975</v>
      </c>
      <c r="F26" s="4">
        <v>0.89627829092576417</v>
      </c>
      <c r="G26" s="4">
        <v>0</v>
      </c>
    </row>
    <row r="27" spans="1:13">
      <c r="A27" s="5" t="s">
        <v>8</v>
      </c>
      <c r="B27" s="4">
        <v>0.58570674242863963</v>
      </c>
      <c r="C27" s="4">
        <v>0.29386645646482257</v>
      </c>
      <c r="D27" s="4">
        <v>8.4772081691761494E-2</v>
      </c>
      <c r="E27" s="4">
        <v>0.15200165310772837</v>
      </c>
      <c r="F27" s="4">
        <v>5.7812962343424174E-2</v>
      </c>
      <c r="G27" s="4">
        <v>0.73277347839675577</v>
      </c>
    </row>
    <row r="29" spans="1:13">
      <c r="M29" s="18" t="s">
        <v>30</v>
      </c>
    </row>
    <row r="32" spans="1:13">
      <c r="M32" s="18" t="s">
        <v>31</v>
      </c>
    </row>
  </sheetData>
  <phoneticPr fontId="0" type="noConversion"/>
  <pageMargins left="0.75" right="0.75" top="1" bottom="1" header="0.5" footer="0.5"/>
  <pageSetup orientation="portrait" horizontalDpi="4294967295" verticalDpi="4294967295" r:id="rId1"/>
  <headerFooter alignWithMargins="0"/>
  <legacyDrawing r:id="rId2"/>
  <controls>
    <control shapeId="3074" r:id="rId3" name="CalDStat"/>
    <control shapeId="3075" r:id="rId4" name="CalCov"/>
    <control shapeId="3076" r:id="rId5" name="CalCorr"/>
    <control shapeId="3077" r:id="rId6" name="CalChol"/>
    <control shapeId="3078" r:id="rId7" name="CalCorrRandNum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30.324326512912499</v>
      </c>
      <c r="C2" s="9">
        <v>34.597129628335487</v>
      </c>
      <c r="D2" s="9">
        <v>33.538958228751056</v>
      </c>
      <c r="E2" s="9">
        <v>35.883493078446335</v>
      </c>
      <c r="F2" s="9">
        <v>31.39234417782464</v>
      </c>
      <c r="G2" s="9">
        <v>30.324373955138057</v>
      </c>
      <c r="H2" s="9">
        <v>28.738110005416633</v>
      </c>
      <c r="I2" s="9">
        <v>30.857464603417203</v>
      </c>
      <c r="J2" s="29">
        <v>35.951444569982108</v>
      </c>
      <c r="K2" s="9">
        <v>32.817694918867105</v>
      </c>
      <c r="L2" s="9">
        <v>31.761772228005384</v>
      </c>
      <c r="M2" s="9">
        <v>35.034711500044637</v>
      </c>
      <c r="N2" s="9">
        <v>32.761716222862781</v>
      </c>
      <c r="O2" s="9">
        <v>30.937116035724767</v>
      </c>
      <c r="P2" s="9">
        <v>31.281096602635333</v>
      </c>
    </row>
    <row r="3" spans="1:16">
      <c r="A3" s="26">
        <v>2</v>
      </c>
      <c r="B3" s="9">
        <v>29.124996490088343</v>
      </c>
      <c r="C3" s="9">
        <v>30.089960039129007</v>
      </c>
      <c r="D3" s="9">
        <v>31.778591710884371</v>
      </c>
      <c r="E3" s="9">
        <v>36.995816106928672</v>
      </c>
      <c r="F3" s="9">
        <v>35.288971208132942</v>
      </c>
      <c r="G3" s="9">
        <v>42.51978960653274</v>
      </c>
      <c r="H3" s="9">
        <v>43.272974588138972</v>
      </c>
      <c r="I3" s="9">
        <v>46.297932037086788</v>
      </c>
      <c r="J3" s="29">
        <v>53.928607373897876</v>
      </c>
      <c r="K3" s="9">
        <v>56.370736275671995</v>
      </c>
      <c r="L3" s="9">
        <v>56.077798175940615</v>
      </c>
      <c r="M3" s="9">
        <v>63.910194307729583</v>
      </c>
      <c r="N3" s="9">
        <v>57.775107398221792</v>
      </c>
      <c r="O3" s="9">
        <v>50.357185763097853</v>
      </c>
      <c r="P3" s="9">
        <v>51.536030099053498</v>
      </c>
    </row>
    <row r="4" spans="1:16">
      <c r="A4" s="26">
        <v>3</v>
      </c>
      <c r="B4" s="9">
        <v>29.427189636134234</v>
      </c>
      <c r="C4" s="9">
        <v>28.584446151177282</v>
      </c>
      <c r="D4" s="9">
        <v>27.526586241111648</v>
      </c>
      <c r="E4" s="9">
        <v>26.722962949685634</v>
      </c>
      <c r="F4" s="9">
        <v>31.388106812159247</v>
      </c>
      <c r="G4" s="9">
        <v>32.123981591124895</v>
      </c>
      <c r="H4" s="9">
        <v>27.793462284277059</v>
      </c>
      <c r="I4" s="9">
        <v>27.261312817050577</v>
      </c>
      <c r="J4" s="29">
        <v>30.037736686105266</v>
      </c>
      <c r="K4" s="9">
        <v>27.361856148457377</v>
      </c>
      <c r="L4" s="9">
        <v>31.289016436583463</v>
      </c>
      <c r="M4" s="9">
        <v>32.776408204788112</v>
      </c>
      <c r="N4" s="9">
        <v>33.659191355949453</v>
      </c>
      <c r="O4" s="9">
        <v>38.230063949576348</v>
      </c>
      <c r="P4" s="9">
        <v>37.872317741913356</v>
      </c>
    </row>
    <row r="5" spans="1:16">
      <c r="A5" s="26">
        <v>4</v>
      </c>
      <c r="B5" s="9">
        <v>27.526703617435704</v>
      </c>
      <c r="C5" s="9">
        <v>25.249485531998918</v>
      </c>
      <c r="D5" s="9">
        <v>27.340095442459251</v>
      </c>
      <c r="E5" s="9">
        <v>28.682654947483936</v>
      </c>
      <c r="F5" s="9">
        <v>27.7217148754149</v>
      </c>
      <c r="G5" s="9">
        <v>28.04065782608907</v>
      </c>
      <c r="H5" s="9">
        <v>30.512937792307067</v>
      </c>
      <c r="I5" s="9">
        <v>28.051827800896426</v>
      </c>
      <c r="J5" s="29">
        <v>31.643927906775389</v>
      </c>
      <c r="K5" s="9">
        <v>24.791813365955715</v>
      </c>
      <c r="L5" s="9">
        <v>24.602678613049832</v>
      </c>
      <c r="M5" s="9">
        <v>28.691881613760479</v>
      </c>
      <c r="N5" s="9">
        <v>34.334321625294756</v>
      </c>
      <c r="O5" s="9">
        <v>37.78266513810545</v>
      </c>
      <c r="P5" s="9">
        <v>35.895567653830632</v>
      </c>
    </row>
    <row r="6" spans="1:16">
      <c r="A6" s="26">
        <v>5</v>
      </c>
      <c r="B6" s="9">
        <v>27.61408508932703</v>
      </c>
      <c r="C6" s="9">
        <v>27.644674038485665</v>
      </c>
      <c r="D6" s="9">
        <v>25.381787955627878</v>
      </c>
      <c r="E6" s="9">
        <v>27.420902723227648</v>
      </c>
      <c r="F6" s="9">
        <v>28.512995169370779</v>
      </c>
      <c r="G6" s="9">
        <v>25.998430990618036</v>
      </c>
      <c r="H6" s="9">
        <v>25.969343048295272</v>
      </c>
      <c r="I6" s="9">
        <v>26.529128481086222</v>
      </c>
      <c r="J6" s="29">
        <v>24.67934678288416</v>
      </c>
      <c r="K6" s="9">
        <v>23.724713313224385</v>
      </c>
      <c r="L6" s="9">
        <v>25.445976992242414</v>
      </c>
      <c r="M6" s="9">
        <v>23.613403337718168</v>
      </c>
      <c r="N6" s="9">
        <v>20.627841589344833</v>
      </c>
      <c r="O6" s="9">
        <v>19.163516196262869</v>
      </c>
      <c r="P6" s="9">
        <v>18.385247683411272</v>
      </c>
    </row>
    <row r="7" spans="1:16">
      <c r="A7" s="26">
        <v>6</v>
      </c>
      <c r="B7" s="9">
        <v>30.903719935616284</v>
      </c>
      <c r="C7" s="9">
        <v>29.020184097397362</v>
      </c>
      <c r="D7" s="9">
        <v>29.794677001218876</v>
      </c>
      <c r="E7" s="9">
        <v>25.53940436567612</v>
      </c>
      <c r="F7" s="9">
        <v>24.900838045348038</v>
      </c>
      <c r="G7" s="9">
        <v>28.023772182654195</v>
      </c>
      <c r="H7" s="9">
        <v>28.466623230053894</v>
      </c>
      <c r="I7" s="9">
        <v>25.802615431968263</v>
      </c>
      <c r="J7" s="29">
        <v>29.505912144599645</v>
      </c>
      <c r="K7" s="9">
        <v>30.265676030126532</v>
      </c>
      <c r="L7" s="9">
        <v>27.474962846564747</v>
      </c>
      <c r="M7" s="9">
        <v>26.188479041721074</v>
      </c>
      <c r="N7" s="9">
        <v>23.243879081418001</v>
      </c>
      <c r="O7" s="9">
        <v>24.583713606933696</v>
      </c>
      <c r="P7" s="9">
        <v>25.081365270639807</v>
      </c>
    </row>
    <row r="8" spans="1:16">
      <c r="A8" s="26">
        <v>7</v>
      </c>
      <c r="B8" s="9">
        <v>23.807731735546806</v>
      </c>
      <c r="C8" s="9">
        <v>29.851395433313208</v>
      </c>
      <c r="D8" s="9">
        <v>34.910844428414727</v>
      </c>
      <c r="E8" s="9">
        <v>37.747106983047665</v>
      </c>
      <c r="F8" s="9">
        <v>36.85900011527022</v>
      </c>
      <c r="G8" s="9">
        <v>31.43366909584493</v>
      </c>
      <c r="H8" s="9">
        <v>30.742169890885506</v>
      </c>
      <c r="I8" s="9">
        <v>29.295474727924585</v>
      </c>
      <c r="J8" s="29">
        <v>26.475437082912944</v>
      </c>
      <c r="K8" s="9">
        <v>25.718512803197896</v>
      </c>
      <c r="L8" s="9">
        <v>24.251634871546088</v>
      </c>
      <c r="M8" s="9">
        <v>26.812932212987384</v>
      </c>
      <c r="N8" s="9">
        <v>26.395764127122497</v>
      </c>
      <c r="O8" s="9">
        <v>27.572961828584685</v>
      </c>
      <c r="P8" s="9">
        <v>29.985611391398756</v>
      </c>
    </row>
    <row r="9" spans="1:16">
      <c r="A9" s="26">
        <v>8</v>
      </c>
      <c r="B9" s="9">
        <v>30.778550530901981</v>
      </c>
      <c r="C9" s="9">
        <v>28.021662135406306</v>
      </c>
      <c r="D9" s="9">
        <v>26.495774508064539</v>
      </c>
      <c r="E9" s="9">
        <v>26.545782566109651</v>
      </c>
      <c r="F9" s="9">
        <v>25.655571318943171</v>
      </c>
      <c r="G9" s="9">
        <v>27.726095803697692</v>
      </c>
      <c r="H9" s="9">
        <v>25.411221019652597</v>
      </c>
      <c r="I9" s="9">
        <v>28.079185236836523</v>
      </c>
      <c r="J9" s="29">
        <v>30.341855602492831</v>
      </c>
      <c r="K9" s="9">
        <v>31.791505139155444</v>
      </c>
      <c r="L9" s="9">
        <v>34.477950811633754</v>
      </c>
      <c r="M9" s="9">
        <v>40.67467469871378</v>
      </c>
      <c r="N9" s="9">
        <v>42.588337659254151</v>
      </c>
      <c r="O9" s="9">
        <v>44.019357236997998</v>
      </c>
      <c r="P9" s="9">
        <v>42.860117348649538</v>
      </c>
    </row>
    <row r="10" spans="1:16">
      <c r="A10" s="26">
        <v>9</v>
      </c>
      <c r="B10" s="9">
        <v>31.288556316388217</v>
      </c>
      <c r="C10" s="9">
        <v>26.604639620832948</v>
      </c>
      <c r="D10" s="9">
        <v>30.692984645840635</v>
      </c>
      <c r="E10" s="9">
        <v>28.709299763315368</v>
      </c>
      <c r="F10" s="9">
        <v>26.921828252759706</v>
      </c>
      <c r="G10" s="9">
        <v>28.496799510875878</v>
      </c>
      <c r="H10" s="9">
        <v>30.275294997740787</v>
      </c>
      <c r="I10" s="9">
        <v>31.643525751956872</v>
      </c>
      <c r="J10" s="29">
        <v>33.589069174239022</v>
      </c>
      <c r="K10" s="9">
        <v>34.143583873706589</v>
      </c>
      <c r="L10" s="9">
        <v>30.332177169646819</v>
      </c>
      <c r="M10" s="9">
        <v>32.299311524619547</v>
      </c>
      <c r="N10" s="9">
        <v>34.999617246719737</v>
      </c>
      <c r="O10" s="9">
        <v>29.426127270117199</v>
      </c>
      <c r="P10" s="9">
        <v>29.91038389600245</v>
      </c>
    </row>
    <row r="11" spans="1:16">
      <c r="A11" s="26">
        <v>10</v>
      </c>
      <c r="B11" s="9">
        <v>30.35155139125369</v>
      </c>
      <c r="C11" s="9">
        <v>29.465854513749619</v>
      </c>
      <c r="D11" s="9">
        <v>26.638940456880643</v>
      </c>
      <c r="E11" s="9">
        <v>27.406873912039362</v>
      </c>
      <c r="F11" s="9">
        <v>25.681543809933235</v>
      </c>
      <c r="G11" s="9">
        <v>24.289925792780128</v>
      </c>
      <c r="H11" s="9">
        <v>22.815679084435025</v>
      </c>
      <c r="I11" s="9">
        <v>22.76695383128671</v>
      </c>
      <c r="J11" s="29">
        <v>26.148387870946561</v>
      </c>
      <c r="K11" s="9">
        <v>25.023972241387529</v>
      </c>
      <c r="L11" s="9">
        <v>23.544905223716825</v>
      </c>
      <c r="M11" s="9">
        <v>20.656455164189783</v>
      </c>
      <c r="N11" s="9">
        <v>20.998309380195344</v>
      </c>
      <c r="O11" s="9">
        <v>24.766992918262336</v>
      </c>
      <c r="P11" s="9">
        <v>24.531742541682195</v>
      </c>
    </row>
    <row r="12" spans="1:16">
      <c r="A12" s="26">
        <v>11</v>
      </c>
      <c r="B12" s="9">
        <v>24.894728822984085</v>
      </c>
      <c r="C12" s="9">
        <v>25.299576906097659</v>
      </c>
      <c r="D12" s="9">
        <v>30.766856529824178</v>
      </c>
      <c r="E12" s="9">
        <v>34.80926530157307</v>
      </c>
      <c r="F12" s="9">
        <v>34.408353859714452</v>
      </c>
      <c r="G12" s="9">
        <v>39.763273346145546</v>
      </c>
      <c r="H12" s="9">
        <v>37.236327583398619</v>
      </c>
      <c r="I12" s="9">
        <v>37.998850178641668</v>
      </c>
      <c r="J12" s="29">
        <v>37.866107476870269</v>
      </c>
      <c r="K12" s="9">
        <v>35.50862973611887</v>
      </c>
      <c r="L12" s="9">
        <v>30.863394286608944</v>
      </c>
      <c r="M12" s="9">
        <v>29.907743659196772</v>
      </c>
      <c r="N12" s="9">
        <v>27.181022534947147</v>
      </c>
      <c r="O12" s="9">
        <v>30.617516480981401</v>
      </c>
      <c r="P12" s="9">
        <v>31.4843242143833</v>
      </c>
    </row>
    <row r="13" spans="1:16">
      <c r="A13" s="26">
        <v>12</v>
      </c>
      <c r="B13" s="9">
        <v>28.360181447886497</v>
      </c>
      <c r="C13" s="9">
        <v>32.346496525178239</v>
      </c>
      <c r="D13" s="9">
        <v>33.517927220471151</v>
      </c>
      <c r="E13" s="9">
        <v>38.826830382114046</v>
      </c>
      <c r="F13" s="9">
        <v>40.088015579956419</v>
      </c>
      <c r="G13" s="9">
        <v>40.015402502062543</v>
      </c>
      <c r="H13" s="9">
        <v>38.638566780705425</v>
      </c>
      <c r="I13" s="9">
        <v>36.420667278519645</v>
      </c>
      <c r="J13" s="29">
        <v>41.201309243058667</v>
      </c>
      <c r="K13" s="9">
        <v>40.874172644077866</v>
      </c>
      <c r="L13" s="9">
        <v>38.567984438116014</v>
      </c>
      <c r="M13" s="9">
        <v>36.421987486892426</v>
      </c>
      <c r="N13" s="9">
        <v>35.562359136270821</v>
      </c>
      <c r="O13" s="9">
        <v>33.544888171529813</v>
      </c>
      <c r="P13" s="9">
        <v>29.75610970525301</v>
      </c>
    </row>
    <row r="14" spans="1:16">
      <c r="A14" s="26">
        <v>13</v>
      </c>
      <c r="B14" s="9">
        <v>31.839828999099613</v>
      </c>
      <c r="C14" s="9">
        <v>32.28974786308369</v>
      </c>
      <c r="D14" s="9">
        <v>33.195897676993084</v>
      </c>
      <c r="E14" s="9">
        <v>34.5649967342042</v>
      </c>
      <c r="F14" s="9">
        <v>32.667392066260959</v>
      </c>
      <c r="G14" s="9">
        <v>34.622203525201499</v>
      </c>
      <c r="H14" s="9">
        <v>34.228269614149163</v>
      </c>
      <c r="I14" s="9">
        <v>28.487759896967898</v>
      </c>
      <c r="J14" s="29">
        <v>26.326703374729288</v>
      </c>
      <c r="K14" s="9">
        <v>26.102771755533677</v>
      </c>
      <c r="L14" s="9">
        <v>25.630278554247536</v>
      </c>
      <c r="M14" s="9">
        <v>21.903537752984025</v>
      </c>
      <c r="N14" s="9">
        <v>21.543714539087279</v>
      </c>
      <c r="O14" s="9">
        <v>21.628428884091825</v>
      </c>
      <c r="P14" s="9">
        <v>21.207630528363786</v>
      </c>
    </row>
    <row r="15" spans="1:16">
      <c r="A15" s="26">
        <v>14</v>
      </c>
      <c r="B15" s="9">
        <v>31.050311533187198</v>
      </c>
      <c r="C15" s="9">
        <v>30.576348254896399</v>
      </c>
      <c r="D15" s="9">
        <v>34.479101342756003</v>
      </c>
      <c r="E15" s="9">
        <v>28.591177261880517</v>
      </c>
      <c r="F15" s="9">
        <v>30.009139264703528</v>
      </c>
      <c r="G15" s="9">
        <v>29.48743289668127</v>
      </c>
      <c r="H15" s="9">
        <v>31.396955457243742</v>
      </c>
      <c r="I15" s="9">
        <v>29.787977139320478</v>
      </c>
      <c r="J15" s="29">
        <v>29.92795162969399</v>
      </c>
      <c r="K15" s="9">
        <v>29.219701301414556</v>
      </c>
      <c r="L15" s="9">
        <v>30.832507996578936</v>
      </c>
      <c r="M15" s="9">
        <v>27.640070964733678</v>
      </c>
      <c r="N15" s="9">
        <v>32.405494095485274</v>
      </c>
      <c r="O15" s="9">
        <v>36.060190960666546</v>
      </c>
      <c r="P15" s="9">
        <v>33.252903962509912</v>
      </c>
    </row>
    <row r="16" spans="1:16">
      <c r="A16" s="26">
        <v>15</v>
      </c>
      <c r="B16" s="9">
        <v>28.09740108039804</v>
      </c>
      <c r="C16" s="9">
        <v>30.932069725361274</v>
      </c>
      <c r="D16" s="9">
        <v>31.627405092288978</v>
      </c>
      <c r="E16" s="9">
        <v>32.99944858503747</v>
      </c>
      <c r="F16" s="9">
        <v>33.856543855087153</v>
      </c>
      <c r="G16" s="9">
        <v>31.910941805290506</v>
      </c>
      <c r="H16" s="9">
        <v>28.902968755395058</v>
      </c>
      <c r="I16" s="9">
        <v>33.684148130911282</v>
      </c>
      <c r="J16" s="29">
        <v>32.936316173800286</v>
      </c>
      <c r="K16" s="9">
        <v>40.029722500852145</v>
      </c>
      <c r="L16" s="9">
        <v>41.095639262573918</v>
      </c>
      <c r="M16" s="9">
        <v>43.897263190953254</v>
      </c>
      <c r="N16" s="9">
        <v>44.298772303243268</v>
      </c>
      <c r="O16" s="9">
        <v>44.061702711707547</v>
      </c>
      <c r="P16" s="9">
        <v>49.825060544297642</v>
      </c>
    </row>
    <row r="17" spans="1:16">
      <c r="A17" s="26">
        <v>16</v>
      </c>
      <c r="B17" s="9">
        <v>33.817166732405745</v>
      </c>
      <c r="C17" s="9">
        <v>36.949131057215155</v>
      </c>
      <c r="D17" s="9">
        <v>34.95705340705797</v>
      </c>
      <c r="E17" s="9">
        <v>41.243212795996293</v>
      </c>
      <c r="F17" s="9">
        <v>42.43903302684933</v>
      </c>
      <c r="G17" s="9">
        <v>43.66799089139478</v>
      </c>
      <c r="H17" s="9">
        <v>43.287423035305508</v>
      </c>
      <c r="I17" s="9">
        <v>37.794233223015276</v>
      </c>
      <c r="J17" s="29">
        <v>38.847070054114049</v>
      </c>
      <c r="K17" s="9">
        <v>37.66319014267102</v>
      </c>
      <c r="L17" s="9">
        <v>42.344242344026064</v>
      </c>
      <c r="M17" s="9">
        <v>44.358636143367377</v>
      </c>
      <c r="N17" s="9">
        <v>45.532076171001073</v>
      </c>
      <c r="O17" s="9">
        <v>57.428899625706983</v>
      </c>
      <c r="P17" s="9">
        <v>64.590531532532154</v>
      </c>
    </row>
    <row r="18" spans="1:16">
      <c r="A18" s="26">
        <v>17</v>
      </c>
      <c r="B18" s="9">
        <v>31.955675500610823</v>
      </c>
      <c r="C18" s="9">
        <v>33.42725698242073</v>
      </c>
      <c r="D18" s="9">
        <v>36.983413235002359</v>
      </c>
      <c r="E18" s="9">
        <v>30.217199642155407</v>
      </c>
      <c r="F18" s="9">
        <v>26.81649931905871</v>
      </c>
      <c r="G18" s="9">
        <v>27.273709684381238</v>
      </c>
      <c r="H18" s="9">
        <v>29.782819151167001</v>
      </c>
      <c r="I18" s="9">
        <v>32.856112202830332</v>
      </c>
      <c r="J18" s="29">
        <v>28.169722410331495</v>
      </c>
      <c r="K18" s="9">
        <v>27.443470252877809</v>
      </c>
      <c r="L18" s="9">
        <v>29.639638618844121</v>
      </c>
      <c r="M18" s="9">
        <v>33.545868205551329</v>
      </c>
      <c r="N18" s="9">
        <v>36.436270856919727</v>
      </c>
      <c r="O18" s="9">
        <v>34.304278661133033</v>
      </c>
      <c r="P18" s="9">
        <v>39.872593035681462</v>
      </c>
    </row>
    <row r="19" spans="1:16">
      <c r="A19" s="26">
        <v>18</v>
      </c>
      <c r="B19" s="9">
        <v>25.125773468060796</v>
      </c>
      <c r="C19" s="9">
        <v>26.614451007746663</v>
      </c>
      <c r="D19" s="9">
        <v>23.564220844614852</v>
      </c>
      <c r="E19" s="9">
        <v>27.490433587131971</v>
      </c>
      <c r="F19" s="9">
        <v>23.788869785080983</v>
      </c>
      <c r="G19" s="9">
        <v>23.718944222435404</v>
      </c>
      <c r="H19" s="9">
        <v>24.243574832238796</v>
      </c>
      <c r="I19" s="9">
        <v>21.541520872110297</v>
      </c>
      <c r="J19" s="29">
        <v>20.920374083655862</v>
      </c>
      <c r="K19" s="9">
        <v>24.956356352960277</v>
      </c>
      <c r="L19" s="9">
        <v>25.839525690545063</v>
      </c>
      <c r="M19" s="9">
        <v>23.522850387945354</v>
      </c>
      <c r="N19" s="9">
        <v>25.203694780090867</v>
      </c>
      <c r="O19" s="9">
        <v>27.998080294112697</v>
      </c>
      <c r="P19" s="9">
        <v>29.266797849085687</v>
      </c>
    </row>
    <row r="20" spans="1:16">
      <c r="A20" s="26">
        <v>19</v>
      </c>
      <c r="B20" s="9">
        <v>33.421223302263321</v>
      </c>
      <c r="C20" s="9">
        <v>42.754464227650118</v>
      </c>
      <c r="D20" s="9">
        <v>42.411158281119455</v>
      </c>
      <c r="E20" s="9">
        <v>37.519427249756298</v>
      </c>
      <c r="F20" s="9">
        <v>34.467003551684904</v>
      </c>
      <c r="G20" s="9">
        <v>35.853332693539024</v>
      </c>
      <c r="H20" s="9">
        <v>38.474250387850361</v>
      </c>
      <c r="I20" s="9">
        <v>40.736987271533948</v>
      </c>
      <c r="J20" s="29">
        <v>43.220634157131201</v>
      </c>
      <c r="K20" s="9">
        <v>41.481304891275435</v>
      </c>
      <c r="L20" s="9">
        <v>44.126881286291223</v>
      </c>
      <c r="M20" s="9">
        <v>50.036988132916193</v>
      </c>
      <c r="N20" s="9">
        <v>47.683134804422302</v>
      </c>
      <c r="O20" s="9">
        <v>42.937640671245788</v>
      </c>
      <c r="P20" s="9">
        <v>37.848923651564462</v>
      </c>
    </row>
    <row r="21" spans="1:16">
      <c r="A21" s="26">
        <v>20</v>
      </c>
      <c r="B21" s="9">
        <v>28.034798869575372</v>
      </c>
      <c r="C21" s="9">
        <v>27.180166111266267</v>
      </c>
      <c r="D21" s="9">
        <v>29.091787463626435</v>
      </c>
      <c r="E21" s="9">
        <v>27.88077900491523</v>
      </c>
      <c r="F21" s="9">
        <v>26.385401925804519</v>
      </c>
      <c r="G21" s="9">
        <v>28.290131516556308</v>
      </c>
      <c r="H21" s="9">
        <v>27.117019607408359</v>
      </c>
      <c r="I21" s="9">
        <v>25.818104330575853</v>
      </c>
      <c r="J21" s="29">
        <v>22.894674721532727</v>
      </c>
      <c r="K21" s="9">
        <v>21.769276917296228</v>
      </c>
      <c r="L21" s="9">
        <v>26.000670114172856</v>
      </c>
      <c r="M21" s="9">
        <v>27.167653651409037</v>
      </c>
      <c r="N21" s="9">
        <v>23.893030250511902</v>
      </c>
      <c r="O21" s="9">
        <v>23.22881157889806</v>
      </c>
      <c r="P21" s="9">
        <v>24.069201503889996</v>
      </c>
    </row>
    <row r="22" spans="1:16">
      <c r="A22" s="26">
        <v>21</v>
      </c>
      <c r="B22" s="9">
        <v>29.069691908532704</v>
      </c>
      <c r="C22" s="9">
        <v>29.200332029037259</v>
      </c>
      <c r="D22" s="9">
        <v>27.629942116278524</v>
      </c>
      <c r="E22" s="9">
        <v>28.299731627569013</v>
      </c>
      <c r="F22" s="9">
        <v>27.819002809069044</v>
      </c>
      <c r="G22" s="9">
        <v>24.472370045900224</v>
      </c>
      <c r="H22" s="9">
        <v>21.606409776410771</v>
      </c>
      <c r="I22" s="9">
        <v>24.493370180072333</v>
      </c>
      <c r="J22" s="29">
        <v>23.126017126069335</v>
      </c>
      <c r="K22" s="9">
        <v>21.811536362765796</v>
      </c>
      <c r="L22" s="9">
        <v>20.770657054281791</v>
      </c>
      <c r="M22" s="9">
        <v>22.368795086441324</v>
      </c>
      <c r="N22" s="9">
        <v>22.103406904539479</v>
      </c>
      <c r="O22" s="9">
        <v>21.951372964425818</v>
      </c>
      <c r="P22" s="9">
        <v>21.308340182354279</v>
      </c>
    </row>
    <row r="23" spans="1:16">
      <c r="A23" s="26">
        <v>22</v>
      </c>
      <c r="B23" s="9">
        <v>30.835013598096388</v>
      </c>
      <c r="C23" s="9">
        <v>30.409575502910261</v>
      </c>
      <c r="D23" s="9">
        <v>29.754417761805318</v>
      </c>
      <c r="E23" s="9">
        <v>32.311815988696644</v>
      </c>
      <c r="F23" s="9">
        <v>33.10591663575353</v>
      </c>
      <c r="G23" s="9">
        <v>30.457885070051333</v>
      </c>
      <c r="H23" s="9">
        <v>31.493267300412253</v>
      </c>
      <c r="I23" s="9">
        <v>27.458303800065824</v>
      </c>
      <c r="J23" s="29">
        <v>24.186738911929076</v>
      </c>
      <c r="K23" s="9">
        <v>25.26363998397435</v>
      </c>
      <c r="L23" s="9">
        <v>24.319012450311487</v>
      </c>
      <c r="M23" s="9">
        <v>23.008425357365965</v>
      </c>
      <c r="N23" s="9">
        <v>20.431837725929043</v>
      </c>
      <c r="O23" s="9">
        <v>21.090095066797868</v>
      </c>
      <c r="P23" s="9">
        <v>24.124515500561991</v>
      </c>
    </row>
    <row r="24" spans="1:16">
      <c r="A24" s="26">
        <v>23</v>
      </c>
      <c r="B24" s="9">
        <v>25.07117422570299</v>
      </c>
      <c r="C24" s="9">
        <v>26.375082968297633</v>
      </c>
      <c r="D24" s="9">
        <v>25.918069572703661</v>
      </c>
      <c r="E24" s="9">
        <v>22.332903713870891</v>
      </c>
      <c r="F24" s="9">
        <v>21.371952454651812</v>
      </c>
      <c r="G24" s="9">
        <v>19.191140683517876</v>
      </c>
      <c r="H24" s="9">
        <v>19.308508330069106</v>
      </c>
      <c r="I24" s="9">
        <v>19.846881286600496</v>
      </c>
      <c r="J24" s="29">
        <v>21.753971155073735</v>
      </c>
      <c r="K24" s="9">
        <v>21.98554190109153</v>
      </c>
      <c r="L24" s="9">
        <v>22.583177192022315</v>
      </c>
      <c r="M24" s="9">
        <v>23.37696616413103</v>
      </c>
      <c r="N24" s="9">
        <v>21.058207499654465</v>
      </c>
      <c r="O24" s="9">
        <v>24.21778315442857</v>
      </c>
      <c r="P24" s="9">
        <v>22.678734368340645</v>
      </c>
    </row>
    <row r="25" spans="1:16">
      <c r="A25" s="26">
        <v>24</v>
      </c>
      <c r="B25" s="9">
        <v>29.513699594524571</v>
      </c>
      <c r="C25" s="9">
        <v>27.362789067880549</v>
      </c>
      <c r="D25" s="9">
        <v>27.677529253145554</v>
      </c>
      <c r="E25" s="9">
        <v>24.15818390153467</v>
      </c>
      <c r="F25" s="9">
        <v>26.489806262956527</v>
      </c>
      <c r="G25" s="9">
        <v>23.057329204521334</v>
      </c>
      <c r="H25" s="9">
        <v>24.21440473579424</v>
      </c>
      <c r="I25" s="9">
        <v>24.346227805462721</v>
      </c>
      <c r="J25" s="29">
        <v>22.742089073642511</v>
      </c>
      <c r="K25" s="9">
        <v>26.107376629492496</v>
      </c>
      <c r="L25" s="9">
        <v>30.375456849732888</v>
      </c>
      <c r="M25" s="9">
        <v>31.155370565868601</v>
      </c>
      <c r="N25" s="9">
        <v>31.047580874628377</v>
      </c>
      <c r="O25" s="9">
        <v>35.079815852751665</v>
      </c>
      <c r="P25" s="9">
        <v>37.021161759242396</v>
      </c>
    </row>
    <row r="26" spans="1:16">
      <c r="A26" s="26">
        <v>25</v>
      </c>
      <c r="B26" s="9">
        <v>28.7098666142677</v>
      </c>
      <c r="C26" s="9">
        <v>28.377598018469389</v>
      </c>
      <c r="D26" s="9">
        <v>27.033451571248559</v>
      </c>
      <c r="E26" s="9">
        <v>27.575562567879956</v>
      </c>
      <c r="F26" s="9">
        <v>31.02494048176624</v>
      </c>
      <c r="G26" s="9">
        <v>31.515469848454163</v>
      </c>
      <c r="H26" s="9">
        <v>30.646795171458667</v>
      </c>
      <c r="I26" s="9">
        <v>34.120285461079156</v>
      </c>
      <c r="J26" s="29">
        <v>36.671607607793256</v>
      </c>
      <c r="K26" s="9">
        <v>36.48600702772427</v>
      </c>
      <c r="L26" s="9">
        <v>42.277655502451765</v>
      </c>
      <c r="M26" s="9">
        <v>37.208284624623033</v>
      </c>
      <c r="N26" s="9">
        <v>40.164319282963184</v>
      </c>
      <c r="O26" s="9">
        <v>45.149872584139139</v>
      </c>
      <c r="P26" s="9">
        <v>50.08409886229564</v>
      </c>
    </row>
    <row r="27" spans="1:16">
      <c r="A27" s="26">
        <v>26</v>
      </c>
      <c r="B27" s="9">
        <v>27.587546491363899</v>
      </c>
      <c r="C27" s="9">
        <v>28.008118250725584</v>
      </c>
      <c r="D27" s="9">
        <v>28.678583629633632</v>
      </c>
      <c r="E27" s="9">
        <v>27.63462668989207</v>
      </c>
      <c r="F27" s="9">
        <v>27.952766716690057</v>
      </c>
      <c r="G27" s="9">
        <v>32.718503898431102</v>
      </c>
      <c r="H27" s="9">
        <v>33.903781594559327</v>
      </c>
      <c r="I27" s="9">
        <v>33.679778902393316</v>
      </c>
      <c r="J27" s="29">
        <v>40.402867636743629</v>
      </c>
      <c r="K27" s="9">
        <v>41.380800753422442</v>
      </c>
      <c r="L27" s="9">
        <v>43.736375514996929</v>
      </c>
      <c r="M27" s="9">
        <v>43.977362362621548</v>
      </c>
      <c r="N27" s="9">
        <v>44.969919958422267</v>
      </c>
      <c r="O27" s="9">
        <v>41.370145341834579</v>
      </c>
      <c r="P27" s="9">
        <v>40.429546746682455</v>
      </c>
    </row>
    <row r="28" spans="1:16">
      <c r="A28" s="26">
        <v>27</v>
      </c>
      <c r="B28" s="9">
        <v>29.719713548246883</v>
      </c>
      <c r="C28" s="9">
        <v>32.345753438768753</v>
      </c>
      <c r="D28" s="9">
        <v>30.28512159433447</v>
      </c>
      <c r="E28" s="9">
        <v>29.863115726405734</v>
      </c>
      <c r="F28" s="9">
        <v>29.280225703511604</v>
      </c>
      <c r="G28" s="9">
        <v>27.550433675864735</v>
      </c>
      <c r="H28" s="9">
        <v>25.378021465163538</v>
      </c>
      <c r="I28" s="9">
        <v>27.771357529861252</v>
      </c>
      <c r="J28" s="29">
        <v>30.072181868081877</v>
      </c>
      <c r="K28" s="9">
        <v>28.98864280357212</v>
      </c>
      <c r="L28" s="9">
        <v>28.093585938275055</v>
      </c>
      <c r="M28" s="9">
        <v>30.328654074969009</v>
      </c>
      <c r="N28" s="9">
        <v>26.927625419294547</v>
      </c>
      <c r="O28" s="9">
        <v>29.918486168827499</v>
      </c>
      <c r="P28" s="9">
        <v>26.721876558430981</v>
      </c>
    </row>
    <row r="29" spans="1:16">
      <c r="A29" s="26">
        <v>28</v>
      </c>
      <c r="B29" s="9">
        <v>29.895904161853114</v>
      </c>
      <c r="C29" s="9">
        <v>30.336364761600066</v>
      </c>
      <c r="D29" s="9">
        <v>26.921543604552152</v>
      </c>
      <c r="E29" s="9">
        <v>27.131573911291689</v>
      </c>
      <c r="F29" s="9">
        <v>21.3379917568761</v>
      </c>
      <c r="G29" s="9">
        <v>20.721158598870158</v>
      </c>
      <c r="H29" s="9">
        <v>23.415835230075583</v>
      </c>
      <c r="I29" s="9">
        <v>25.585595780534028</v>
      </c>
      <c r="J29" s="29">
        <v>25.61674511385495</v>
      </c>
      <c r="K29" s="9">
        <v>23.744338771521626</v>
      </c>
      <c r="L29" s="9">
        <v>21.494558966623011</v>
      </c>
      <c r="M29" s="9">
        <v>22.027448024550608</v>
      </c>
      <c r="N29" s="9">
        <v>21.724304143186792</v>
      </c>
      <c r="O29" s="9">
        <v>22.77248323763062</v>
      </c>
      <c r="P29" s="9">
        <v>23.792357912493699</v>
      </c>
    </row>
    <row r="30" spans="1:16">
      <c r="A30" s="26">
        <v>29</v>
      </c>
      <c r="B30" s="9">
        <v>27.339916555648422</v>
      </c>
      <c r="C30" s="9">
        <v>27.051644904099433</v>
      </c>
      <c r="D30" s="9">
        <v>30.396013399004215</v>
      </c>
      <c r="E30" s="9">
        <v>32.296663897794382</v>
      </c>
      <c r="F30" s="9">
        <v>30.604072577339451</v>
      </c>
      <c r="G30" s="9">
        <v>34.305444939327089</v>
      </c>
      <c r="H30" s="9">
        <v>33.496015556616726</v>
      </c>
      <c r="I30" s="9">
        <v>29.577292787989002</v>
      </c>
      <c r="J30" s="29">
        <v>31.011261923848828</v>
      </c>
      <c r="K30" s="9">
        <v>27.658002853939415</v>
      </c>
      <c r="L30" s="9">
        <v>27.863564937042298</v>
      </c>
      <c r="M30" s="9">
        <v>31.284114539345264</v>
      </c>
      <c r="N30" s="9">
        <v>31.885340424663394</v>
      </c>
      <c r="O30" s="9">
        <v>28.393122276326963</v>
      </c>
      <c r="P30" s="9">
        <v>28.17690888600956</v>
      </c>
    </row>
    <row r="31" spans="1:16">
      <c r="A31" s="26">
        <v>30</v>
      </c>
      <c r="B31" s="9">
        <v>27.453483907629014</v>
      </c>
      <c r="C31" s="9">
        <v>27.661659970592275</v>
      </c>
      <c r="D31" s="9">
        <v>24.974395285814055</v>
      </c>
      <c r="E31" s="9">
        <v>24.841412842833201</v>
      </c>
      <c r="F31" s="9">
        <v>22.901058125099382</v>
      </c>
      <c r="G31" s="9">
        <v>22.929860163174709</v>
      </c>
      <c r="H31" s="9">
        <v>24.957946146572059</v>
      </c>
      <c r="I31" s="9">
        <v>25.554031077407597</v>
      </c>
      <c r="J31" s="29">
        <v>24.387290268165572</v>
      </c>
      <c r="K31" s="9">
        <v>26.526680330532557</v>
      </c>
      <c r="L31" s="9">
        <v>23.65462747371452</v>
      </c>
      <c r="M31" s="9">
        <v>25.753412416157964</v>
      </c>
      <c r="N31" s="9">
        <v>26.546577352997051</v>
      </c>
      <c r="O31" s="9">
        <v>25.527542791103343</v>
      </c>
      <c r="P31" s="9">
        <v>25.904875584659351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W32"/>
  <sheetViews>
    <sheetView tabSelected="1" workbookViewId="0">
      <selection activeCell="P2" sqref="P2"/>
    </sheetView>
  </sheetViews>
  <sheetFormatPr defaultRowHeight="12.75"/>
  <cols>
    <col min="22" max="22" width="16" bestFit="1" customWidth="1"/>
    <col min="23" max="23" width="12" bestFit="1" customWidth="1"/>
  </cols>
  <sheetData>
    <row r="1" spans="1:23">
      <c r="A1" s="39" t="s">
        <v>44</v>
      </c>
      <c r="B1" s="40"/>
      <c r="C1" s="40"/>
      <c r="D1" s="40"/>
      <c r="E1" s="40"/>
      <c r="F1" s="40"/>
      <c r="O1" s="41" t="s">
        <v>45</v>
      </c>
      <c r="P1" s="42"/>
      <c r="Q1" s="42"/>
      <c r="R1" s="42"/>
      <c r="S1" s="42"/>
      <c r="T1" s="42"/>
      <c r="V1" s="43" t="s">
        <v>46</v>
      </c>
      <c r="W1" s="43" t="s">
        <v>47</v>
      </c>
    </row>
    <row r="2" spans="1:23">
      <c r="A2">
        <v>6.2364954974016049E-2</v>
      </c>
      <c r="B2">
        <v>-0.96606782468597596</v>
      </c>
      <c r="C2">
        <v>-1.4609244576120921</v>
      </c>
      <c r="D2">
        <v>0.3677216925976079</v>
      </c>
      <c r="E2">
        <v>-2.4047346865819295</v>
      </c>
      <c r="F2">
        <v>-0.42420618821370681</v>
      </c>
      <c r="H2">
        <v>0.16837760843918981</v>
      </c>
      <c r="I2">
        <v>-1.7742053982909605</v>
      </c>
      <c r="J2">
        <v>-1.8889426285243771</v>
      </c>
      <c r="K2">
        <v>0.45124180982098699</v>
      </c>
      <c r="L2">
        <v>-2.2943363309008418</v>
      </c>
      <c r="M2">
        <v>-0.31084704409478681</v>
      </c>
      <c r="O2">
        <f t="array" ref="O2:T31">MMULT(MatZ,TRANSPOSE(cholRange))</f>
        <v>6.2364954974016042E-2</v>
      </c>
      <c r="P2">
        <v>-0.90056979977392837</v>
      </c>
      <c r="Q2">
        <v>-1.5923748981334713</v>
      </c>
      <c r="R2">
        <v>7.9764005353925471E-2</v>
      </c>
      <c r="S2">
        <v>-2.5327057099618737</v>
      </c>
      <c r="T2">
        <v>-0.76519053600945763</v>
      </c>
      <c r="V2">
        <f>SCIB!O2</f>
        <v>30.937116035724767</v>
      </c>
      <c r="W2">
        <f>V2*EXP((SCIB_MUE-((SCIB_SIGMA^2)/2))+SCIB_SIGMA*O2)</f>
        <v>31.172781254024599</v>
      </c>
    </row>
    <row r="3" spans="1:23">
      <c r="A3">
        <v>0.19906187215005822</v>
      </c>
      <c r="B3">
        <v>1.601038806506335</v>
      </c>
      <c r="C3">
        <v>1.3219805397838491</v>
      </c>
      <c r="D3">
        <v>1.1273389297443193</v>
      </c>
      <c r="E3">
        <v>0.34400649942387829</v>
      </c>
      <c r="F3">
        <v>1.4974382911422612</v>
      </c>
      <c r="H3">
        <v>0.53744225387510403</v>
      </c>
      <c r="I3">
        <v>2.9403439601150101</v>
      </c>
      <c r="J3">
        <v>1.709291252306782</v>
      </c>
      <c r="K3">
        <v>1.3833898548273744</v>
      </c>
      <c r="L3">
        <v>0.32821359216807433</v>
      </c>
      <c r="M3">
        <v>1.0972830652848087</v>
      </c>
      <c r="O3">
        <v>0.19906187215005819</v>
      </c>
      <c r="P3">
        <v>1.5850900825089531</v>
      </c>
      <c r="Q3">
        <v>1.6490847335926682</v>
      </c>
      <c r="R3">
        <v>1.4674443634191758</v>
      </c>
      <c r="S3">
        <v>1.1076039221676521</v>
      </c>
      <c r="T3">
        <v>1.9876790047386461</v>
      </c>
    </row>
    <row r="4" spans="1:23">
      <c r="A4">
        <v>-0.1691017905273543</v>
      </c>
      <c r="B4">
        <v>-0.43977726770118419</v>
      </c>
      <c r="C4">
        <v>-0.55235829090238742</v>
      </c>
      <c r="D4">
        <v>-0.69779915775590617</v>
      </c>
      <c r="E4">
        <v>-0.67547950066581053</v>
      </c>
      <c r="F4">
        <v>-0.28856125144244382</v>
      </c>
      <c r="H4">
        <v>-0.45655376619198756</v>
      </c>
      <c r="I4">
        <v>-0.80766089343128145</v>
      </c>
      <c r="J4">
        <v>-0.71418690847971744</v>
      </c>
      <c r="K4">
        <v>-0.85628931111741513</v>
      </c>
      <c r="L4">
        <v>-0.64446908334788866</v>
      </c>
      <c r="M4">
        <v>-0.21145003195000042</v>
      </c>
      <c r="O4">
        <v>-0.16910179052735427</v>
      </c>
      <c r="P4">
        <v>-0.47043242607301927</v>
      </c>
      <c r="Q4">
        <v>-0.65671414403043615</v>
      </c>
      <c r="R4">
        <v>-0.82301935576284102</v>
      </c>
      <c r="S4">
        <v>-0.93966974140155934</v>
      </c>
      <c r="T4">
        <v>-0.63167253672308066</v>
      </c>
    </row>
    <row r="5" spans="1:23">
      <c r="A5">
        <v>-0.64240487922553058</v>
      </c>
      <c r="B5">
        <v>1.6886057716139788</v>
      </c>
      <c r="C5">
        <v>1.360521206734207</v>
      </c>
      <c r="D5">
        <v>1.3092689090909175</v>
      </c>
      <c r="E5">
        <v>-0.36337304218011901</v>
      </c>
      <c r="F5">
        <v>-0.74546439163731182</v>
      </c>
      <c r="H5">
        <v>-1.7344131372936662</v>
      </c>
      <c r="I5">
        <v>3.101162671012911</v>
      </c>
      <c r="J5">
        <v>1.7591234721419444</v>
      </c>
      <c r="K5">
        <v>1.6066413376570492</v>
      </c>
      <c r="L5">
        <v>-0.34669104121786737</v>
      </c>
      <c r="M5">
        <v>-0.54625653528099438</v>
      </c>
      <c r="O5">
        <v>-0.64240487922553047</v>
      </c>
      <c r="P5">
        <v>1.4107963171102784</v>
      </c>
      <c r="Q5">
        <v>1.5364503872073523</v>
      </c>
      <c r="R5">
        <v>1.4036931806784987</v>
      </c>
      <c r="S5">
        <v>0.26398698977013113</v>
      </c>
      <c r="T5">
        <v>-0.13295522852135316</v>
      </c>
    </row>
    <row r="6" spans="1:23">
      <c r="A6">
        <v>-0.53179282251169657</v>
      </c>
      <c r="B6">
        <v>1.5018525258016107</v>
      </c>
      <c r="C6">
        <v>-0.22029058683244318</v>
      </c>
      <c r="D6">
        <v>0.73049951325273721</v>
      </c>
      <c r="E6">
        <v>1.0751283223394554</v>
      </c>
      <c r="F6">
        <v>-0.57132385079444492</v>
      </c>
      <c r="H6">
        <v>-1.4357743652176627</v>
      </c>
      <c r="I6">
        <v>2.7581861134649301</v>
      </c>
      <c r="J6">
        <v>-0.2848307987194646</v>
      </c>
      <c r="K6">
        <v>0.89641685293292261</v>
      </c>
      <c r="L6">
        <v>1.025770528486051</v>
      </c>
      <c r="M6">
        <v>-0.41865096543767449</v>
      </c>
      <c r="O6">
        <v>-0.53179282251169646</v>
      </c>
      <c r="P6">
        <v>1.2668822776483679</v>
      </c>
      <c r="Q6">
        <v>7.5220064833752265E-3</v>
      </c>
      <c r="R6">
        <v>0.69270920711743911</v>
      </c>
      <c r="S6">
        <v>1.2400592288398049</v>
      </c>
      <c r="T6">
        <v>-0.13426253206818839</v>
      </c>
    </row>
    <row r="7" spans="1:23">
      <c r="A7">
        <v>0.16400236696771198</v>
      </c>
      <c r="B7">
        <v>1.1636815498283717</v>
      </c>
      <c r="C7">
        <v>0.66523060903688314</v>
      </c>
      <c r="D7">
        <v>-1.4777315835972109</v>
      </c>
      <c r="E7">
        <v>0.90012869430117681</v>
      </c>
      <c r="F7">
        <v>0.8859965032817636</v>
      </c>
      <c r="H7">
        <v>0.44278595791330322</v>
      </c>
      <c r="I7">
        <v>2.1371274716329549</v>
      </c>
      <c r="J7">
        <v>0.86012828976996492</v>
      </c>
      <c r="K7">
        <v>-1.8133667054059908</v>
      </c>
      <c r="L7">
        <v>0.85880491404936787</v>
      </c>
      <c r="M7">
        <v>0.64923473955714051</v>
      </c>
      <c r="O7">
        <v>0.16400236696771195</v>
      </c>
      <c r="P7">
        <v>1.1580047960936271</v>
      </c>
      <c r="Q7">
        <v>0.91995353834178661</v>
      </c>
      <c r="R7">
        <v>-1.11977408516138</v>
      </c>
      <c r="S7">
        <v>1.0414545998243261</v>
      </c>
      <c r="T7">
        <v>0.97107345145066892</v>
      </c>
    </row>
    <row r="8" spans="1:23">
      <c r="A8">
        <v>0.886275498767225</v>
      </c>
      <c r="B8">
        <v>-1.3546910539286583</v>
      </c>
      <c r="C8">
        <v>-0.17052782253206078</v>
      </c>
      <c r="D8">
        <v>-0.91752604913455427</v>
      </c>
      <c r="E8">
        <v>0.68895245112677461</v>
      </c>
      <c r="F8">
        <v>0.9417432890633648</v>
      </c>
      <c r="H8">
        <v>2.3928334264468036</v>
      </c>
      <c r="I8">
        <v>-2.4879207437407032</v>
      </c>
      <c r="J8">
        <v>-0.22048865815879076</v>
      </c>
      <c r="K8">
        <v>-1.1259224661038381</v>
      </c>
      <c r="L8">
        <v>0.65732350753842361</v>
      </c>
      <c r="M8">
        <v>0.69008450568376323</v>
      </c>
      <c r="O8">
        <v>0.88627549876722489</v>
      </c>
      <c r="P8">
        <v>-1.0182476611600533</v>
      </c>
      <c r="Q8">
        <v>-0.27828347318032531</v>
      </c>
      <c r="R8">
        <v>-0.78827738571505812</v>
      </c>
      <c r="S8">
        <v>0.40744990424230793</v>
      </c>
      <c r="T8">
        <v>0.69699268871156272</v>
      </c>
    </row>
    <row r="9" spans="1:23">
      <c r="A9">
        <v>-0.36466868872836389</v>
      </c>
      <c r="B9">
        <v>-0.62364245139180619</v>
      </c>
      <c r="C9">
        <v>0.67533554703762744</v>
      </c>
      <c r="D9">
        <v>0.63790065545329089</v>
      </c>
      <c r="E9">
        <v>1.6098332112184641</v>
      </c>
      <c r="F9">
        <v>1.4169412630786309</v>
      </c>
      <c r="H9">
        <v>-0.98456002584015334</v>
      </c>
      <c r="I9">
        <v>-1.1453334596071583</v>
      </c>
      <c r="J9">
        <v>0.87319374845863718</v>
      </c>
      <c r="K9">
        <v>0.78278614519411516</v>
      </c>
      <c r="L9">
        <v>1.5359277860457865</v>
      </c>
      <c r="M9">
        <v>1.0382969780300211</v>
      </c>
      <c r="O9">
        <v>-0.36466868872836383</v>
      </c>
      <c r="P9">
        <v>-0.70534824712807309</v>
      </c>
      <c r="Q9">
        <v>0.43768539665396605</v>
      </c>
      <c r="R9">
        <v>0.48820551565063974</v>
      </c>
      <c r="S9">
        <v>1.3557159437058228</v>
      </c>
      <c r="T9">
        <v>0.88872125212725661</v>
      </c>
    </row>
    <row r="10" spans="1:23">
      <c r="A10">
        <v>0.12193571619186014</v>
      </c>
      <c r="B10">
        <v>-2.110481306702279E-2</v>
      </c>
      <c r="C10">
        <v>-0.35124999564354931</v>
      </c>
      <c r="D10">
        <v>0.21650688619747566</v>
      </c>
      <c r="E10">
        <v>-1.7974448314547247</v>
      </c>
      <c r="F10">
        <v>-0.23282401916803169</v>
      </c>
      <c r="H10">
        <v>0.32921124186266804</v>
      </c>
      <c r="I10">
        <v>-3.8759466278265542E-2</v>
      </c>
      <c r="J10">
        <v>-0.45415838346945769</v>
      </c>
      <c r="K10">
        <v>0.26568179450148366</v>
      </c>
      <c r="L10">
        <v>-1.7149263919248634</v>
      </c>
      <c r="M10">
        <v>-0.17060726638007154</v>
      </c>
      <c r="O10">
        <v>0.12193571619186012</v>
      </c>
      <c r="P10">
        <v>1.7245260057850376E-2</v>
      </c>
      <c r="Q10">
        <v>-0.31583430738674295</v>
      </c>
      <c r="R10">
        <v>0.19788978977655364</v>
      </c>
      <c r="S10">
        <v>-1.598621839365058</v>
      </c>
      <c r="T10">
        <v>-0.2061730909629696</v>
      </c>
    </row>
    <row r="11" spans="1:23">
      <c r="A11">
        <v>-0.17071019404712712</v>
      </c>
      <c r="B11">
        <v>1.8826086890759384</v>
      </c>
      <c r="C11">
        <v>0.71880558895880275</v>
      </c>
      <c r="D11">
        <v>1.3357891092754581</v>
      </c>
      <c r="E11">
        <v>0.55090173176766943</v>
      </c>
      <c r="F11">
        <v>-1.4462994728136298</v>
      </c>
      <c r="H11">
        <v>-0.46089625530590356</v>
      </c>
      <c r="I11">
        <v>3.4574534144263853</v>
      </c>
      <c r="J11">
        <v>0.92939953981273904</v>
      </c>
      <c r="K11">
        <v>1.6391850340692766</v>
      </c>
      <c r="L11">
        <v>0.52561052369038197</v>
      </c>
      <c r="M11">
        <v>-1.0598098954970376</v>
      </c>
      <c r="O11">
        <v>-0.17071019404712709</v>
      </c>
      <c r="P11">
        <v>1.7399124800929444</v>
      </c>
      <c r="Q11">
        <v>1.0594914970576406</v>
      </c>
      <c r="R11">
        <v>1.5215637250839245</v>
      </c>
      <c r="S11">
        <v>1.1914192557970786</v>
      </c>
      <c r="T11">
        <v>-0.31073440278861908</v>
      </c>
    </row>
    <row r="12" spans="1:23">
      <c r="A12">
        <v>0.25311436428580469</v>
      </c>
      <c r="B12">
        <v>0.7063713659755968</v>
      </c>
      <c r="C12">
        <v>-1.8456866910890088</v>
      </c>
      <c r="D12">
        <v>-1.9031277110229388</v>
      </c>
      <c r="E12">
        <v>-1.6458159395922043</v>
      </c>
      <c r="F12">
        <v>-0.2814845325413502</v>
      </c>
      <c r="H12">
        <v>0.68337724829283542</v>
      </c>
      <c r="I12">
        <v>1.297266981352408</v>
      </c>
      <c r="J12">
        <v>-2.3864315855158669</v>
      </c>
      <c r="K12">
        <v>-2.3353824643198378</v>
      </c>
      <c r="L12">
        <v>-1.5702585924559331</v>
      </c>
      <c r="M12">
        <v>-0.20626440002520999</v>
      </c>
      <c r="O12">
        <v>0.25311436428580464</v>
      </c>
      <c r="P12">
        <v>0.74994591978922021</v>
      </c>
      <c r="Q12">
        <v>-1.5605917425559979</v>
      </c>
      <c r="R12">
        <v>-1.8307664217194972</v>
      </c>
      <c r="S12">
        <v>-1.7380694164362636</v>
      </c>
      <c r="T12">
        <v>-0.39132551603486998</v>
      </c>
    </row>
    <row r="13" spans="1:23">
      <c r="A13">
        <v>-1.4186712180143912</v>
      </c>
      <c r="B13">
        <v>0.38870386612604901</v>
      </c>
      <c r="C13">
        <v>-0.68126972509785966</v>
      </c>
      <c r="D13">
        <v>-0.41601188796487776</v>
      </c>
      <c r="E13">
        <v>-0.29043942844600057</v>
      </c>
      <c r="F13">
        <v>-0.14829631073904542</v>
      </c>
      <c r="H13">
        <v>-3.8302355377359012</v>
      </c>
      <c r="I13">
        <v>0.71386343690886644</v>
      </c>
      <c r="J13">
        <v>-0.88086650788491749</v>
      </c>
      <c r="K13">
        <v>-0.51050009018026121</v>
      </c>
      <c r="L13">
        <v>-0.27710571828483144</v>
      </c>
      <c r="M13">
        <v>-0.10866760345365649</v>
      </c>
      <c r="O13">
        <v>-1.418671218014391</v>
      </c>
      <c r="P13">
        <v>-6.4359400733995598E-2</v>
      </c>
      <c r="Q13">
        <v>-0.85097283155035364</v>
      </c>
      <c r="R13">
        <v>-0.8397754807291441</v>
      </c>
      <c r="S13">
        <v>-0.75658890500827747</v>
      </c>
      <c r="T13">
        <v>-0.96314418459453954</v>
      </c>
    </row>
    <row r="14" spans="1:23">
      <c r="A14">
        <v>-0.28501861815229834</v>
      </c>
      <c r="B14">
        <v>-0.29948892957766571</v>
      </c>
      <c r="C14">
        <v>-0.75318913961186285</v>
      </c>
      <c r="D14">
        <v>0.2305787308602299</v>
      </c>
      <c r="E14">
        <v>2.3842330837802166</v>
      </c>
      <c r="F14">
        <v>-4.7295131226147272E-2</v>
      </c>
      <c r="H14">
        <v>-0.76951475881160625</v>
      </c>
      <c r="I14">
        <v>-0.55001818920715506</v>
      </c>
      <c r="J14">
        <v>-0.97385670131084423</v>
      </c>
      <c r="K14">
        <v>0.28294975769474978</v>
      </c>
      <c r="L14">
        <v>2.2747759309897289</v>
      </c>
      <c r="M14">
        <v>-3.465661781981496E-2</v>
      </c>
      <c r="O14">
        <v>-0.28501861815229829</v>
      </c>
      <c r="P14">
        <v>-0.37237580321736596</v>
      </c>
      <c r="Q14">
        <v>-0.8415278285232054</v>
      </c>
      <c r="R14">
        <v>1.0355698049126921E-2</v>
      </c>
      <c r="S14">
        <v>1.8988111535732979</v>
      </c>
      <c r="T14">
        <v>-0.18056518019449708</v>
      </c>
    </row>
    <row r="15" spans="1:23">
      <c r="A15">
        <v>-0.97967335788426002</v>
      </c>
      <c r="B15">
        <v>-0.22107302693302694</v>
      </c>
      <c r="C15">
        <v>-0.36427111757984876</v>
      </c>
      <c r="D15">
        <v>0.58912339075331754</v>
      </c>
      <c r="E15">
        <v>-0.60625041703461413</v>
      </c>
      <c r="F15">
        <v>-0.80238154207772139</v>
      </c>
      <c r="H15">
        <v>-2.6449960097120195</v>
      </c>
      <c r="I15">
        <v>-0.40600561138509583</v>
      </c>
      <c r="J15">
        <v>-0.47099440272324766</v>
      </c>
      <c r="K15">
        <v>0.72293016812120725</v>
      </c>
      <c r="L15">
        <v>-0.57841822018352307</v>
      </c>
      <c r="M15">
        <v>-0.58796391358964473</v>
      </c>
      <c r="O15">
        <v>-0.97967335788425991</v>
      </c>
      <c r="P15">
        <v>-0.5104276681869333</v>
      </c>
      <c r="Q15">
        <v>-0.59191978493850717</v>
      </c>
      <c r="R15">
        <v>0.19418202347137759</v>
      </c>
      <c r="S15">
        <v>-0.87449662601987699</v>
      </c>
      <c r="T15">
        <v>-1.2031125759141235</v>
      </c>
    </row>
    <row r="16" spans="1:23">
      <c r="A16">
        <v>1.3280169389112637</v>
      </c>
      <c r="B16">
        <v>-0.41428678842607147</v>
      </c>
      <c r="C16">
        <v>1.6646675796502088</v>
      </c>
      <c r="D16">
        <v>-0.38069371449397504</v>
      </c>
      <c r="E16">
        <v>-0.45664999935844652</v>
      </c>
      <c r="F16">
        <v>-1.0037795543584886</v>
      </c>
      <c r="H16">
        <v>3.5854802786882018</v>
      </c>
      <c r="I16">
        <v>-0.76084705202254854</v>
      </c>
      <c r="J16">
        <v>2.1523779255934001</v>
      </c>
      <c r="K16">
        <v>-0.46716014903074266</v>
      </c>
      <c r="L16">
        <v>-0.43568577019327426</v>
      </c>
      <c r="M16">
        <v>-0.73554303559081513</v>
      </c>
      <c r="O16">
        <v>1.3280169389112635</v>
      </c>
      <c r="P16">
        <v>1.2247191995492568E-2</v>
      </c>
      <c r="Q16">
        <v>1.7670979580082249</v>
      </c>
      <c r="R16">
        <v>0.17050952181960094</v>
      </c>
      <c r="S16">
        <v>8.3359164691751475E-2</v>
      </c>
      <c r="T16">
        <v>-2.2608577982112354E-2</v>
      </c>
    </row>
    <row r="17" spans="1:20">
      <c r="A17">
        <v>1.2668450903262407</v>
      </c>
      <c r="B17">
        <v>-0.14124550247171019</v>
      </c>
      <c r="C17">
        <v>0.34506588250135839</v>
      </c>
      <c r="D17">
        <v>-0.43108851822200545</v>
      </c>
      <c r="E17">
        <v>1.4335825127749953</v>
      </c>
      <c r="F17">
        <v>1.0174925146658094</v>
      </c>
      <c r="H17">
        <v>3.4203239088512984</v>
      </c>
      <c r="I17">
        <v>-0.25940055818656976</v>
      </c>
      <c r="J17">
        <v>0.44616246357569689</v>
      </c>
      <c r="K17">
        <v>-0.52900105452416468</v>
      </c>
      <c r="L17">
        <v>1.3677685362782874</v>
      </c>
      <c r="M17">
        <v>0.74559152921432714</v>
      </c>
      <c r="O17">
        <v>1.2668450903262405</v>
      </c>
      <c r="P17">
        <v>0.25344314589870426</v>
      </c>
      <c r="Q17">
        <v>0.55275607263679749</v>
      </c>
      <c r="R17">
        <v>-7.9721224476790309E-3</v>
      </c>
      <c r="S17">
        <v>1.6336832762645503</v>
      </c>
      <c r="T17">
        <v>1.4926893625302617</v>
      </c>
    </row>
    <row r="18" spans="1:20">
      <c r="A18">
        <v>1.6390511515101838</v>
      </c>
      <c r="B18">
        <v>0.42059325587858065</v>
      </c>
      <c r="C18">
        <v>1.1602711657350611</v>
      </c>
      <c r="D18">
        <v>1.8163403756601832</v>
      </c>
      <c r="E18">
        <v>0.1115573173160834</v>
      </c>
      <c r="F18">
        <v>-0.28697443643515275</v>
      </c>
      <c r="H18">
        <v>4.425233901247422</v>
      </c>
      <c r="I18">
        <v>0.77242902205868447</v>
      </c>
      <c r="J18">
        <v>1.5002046506819251</v>
      </c>
      <c r="K18">
        <v>2.2288832420357574</v>
      </c>
      <c r="L18">
        <v>0.10643586068945053</v>
      </c>
      <c r="M18">
        <v>-0.21028725599753556</v>
      </c>
      <c r="O18">
        <v>1.6390511515101835</v>
      </c>
      <c r="P18">
        <v>0.90226416950736565</v>
      </c>
      <c r="Q18">
        <v>1.5276751603752974</v>
      </c>
      <c r="R18">
        <v>2.3766007957032191</v>
      </c>
      <c r="S18">
        <v>1.1230990385361168</v>
      </c>
      <c r="T18">
        <v>1.2542091050835218</v>
      </c>
    </row>
    <row r="19" spans="1:20">
      <c r="A19">
        <v>0.43866056263399134</v>
      </c>
      <c r="B19">
        <v>1.0156614923948855</v>
      </c>
      <c r="C19">
        <v>-0.78745634124319852</v>
      </c>
      <c r="D19">
        <v>0.76085052997880331</v>
      </c>
      <c r="E19">
        <v>-0.3621363933694125</v>
      </c>
      <c r="F19">
        <v>-0.291770585987568</v>
      </c>
      <c r="H19">
        <v>1.18432886680788</v>
      </c>
      <c r="I19">
        <v>1.8652852901182211</v>
      </c>
      <c r="J19">
        <v>-1.0181634261277253</v>
      </c>
      <c r="K19">
        <v>0.93366145392621791</v>
      </c>
      <c r="L19">
        <v>-0.34551116540420657</v>
      </c>
      <c r="M19">
        <v>-0.21380174718796993</v>
      </c>
      <c r="O19">
        <v>0.43866056263399128</v>
      </c>
      <c r="P19">
        <v>1.1011939780811975</v>
      </c>
      <c r="Q19">
        <v>-0.44533638818214516</v>
      </c>
      <c r="R19">
        <v>0.88524653829853417</v>
      </c>
      <c r="S19">
        <v>5.6480988215625583E-2</v>
      </c>
      <c r="T19">
        <v>0.36955359308521352</v>
      </c>
    </row>
    <row r="20" spans="1:20">
      <c r="A20">
        <v>-1.4899051220447466</v>
      </c>
      <c r="B20">
        <v>-8.1312517466080036E-2</v>
      </c>
      <c r="C20">
        <v>-0.86445533972801458</v>
      </c>
      <c r="D20">
        <v>1.3234744498671707</v>
      </c>
      <c r="E20">
        <v>-1.4150638534195465</v>
      </c>
      <c r="F20">
        <v>-0.80638409514327813</v>
      </c>
      <c r="H20">
        <v>-4.0225582036532472</v>
      </c>
      <c r="I20">
        <v>-0.14933227642048957</v>
      </c>
      <c r="J20">
        <v>-1.1177214079479407</v>
      </c>
      <c r="K20">
        <v>1.6240733631763509</v>
      </c>
      <c r="L20">
        <v>-1.3501000453649821</v>
      </c>
      <c r="M20">
        <v>-0.59089687832196036</v>
      </c>
      <c r="O20">
        <v>-1.4899051220447463</v>
      </c>
      <c r="P20">
        <v>-0.53361163280185953</v>
      </c>
      <c r="Q20">
        <v>-1.1418326416487046</v>
      </c>
      <c r="R20">
        <v>0.69454149613213978</v>
      </c>
      <c r="S20">
        <v>-1.6943677651886373</v>
      </c>
      <c r="T20">
        <v>-1.441359782980461</v>
      </c>
    </row>
    <row r="21" spans="1:20">
      <c r="A21">
        <v>0.33934895609701166</v>
      </c>
      <c r="B21">
        <v>-1.8667560451889038</v>
      </c>
      <c r="C21">
        <v>0.57073523490069178</v>
      </c>
      <c r="D21">
        <v>0.70592256837898293</v>
      </c>
      <c r="E21">
        <v>1.1203398873137491</v>
      </c>
      <c r="F21">
        <v>-0.78800485710713142</v>
      </c>
      <c r="H21">
        <v>0.9161999022970021</v>
      </c>
      <c r="I21">
        <v>-3.4283396755740405</v>
      </c>
      <c r="J21">
        <v>0.73794788579755999</v>
      </c>
      <c r="K21">
        <v>0.86625778071076975</v>
      </c>
      <c r="L21">
        <v>1.0689064871746363</v>
      </c>
      <c r="M21">
        <v>-0.5774290601359312</v>
      </c>
      <c r="O21">
        <v>0.3393489560970116</v>
      </c>
      <c r="P21">
        <v>-1.6731845594606634</v>
      </c>
      <c r="Q21">
        <v>0.21004011995861926</v>
      </c>
      <c r="R21">
        <v>0.59348232060999218</v>
      </c>
      <c r="S21">
        <v>0.82064957662864479</v>
      </c>
      <c r="T21">
        <v>-0.70679309356360753</v>
      </c>
    </row>
    <row r="22" spans="1:20">
      <c r="A22">
        <v>-0.39910041469312418</v>
      </c>
      <c r="B22">
        <v>-0.71983608545794375</v>
      </c>
      <c r="C22">
        <v>-8.4051824750234178E-2</v>
      </c>
      <c r="D22">
        <v>0.40224633940552335</v>
      </c>
      <c r="E22">
        <v>-0.42347819208917359</v>
      </c>
      <c r="F22">
        <v>1.6240026490303952</v>
      </c>
      <c r="H22">
        <v>-1.0775213961288899</v>
      </c>
      <c r="I22">
        <v>-1.321995243055792</v>
      </c>
      <c r="J22">
        <v>-0.10867712834070052</v>
      </c>
      <c r="K22">
        <v>0.49360799169887248</v>
      </c>
      <c r="L22">
        <v>-0.40403683902252968</v>
      </c>
      <c r="M22">
        <v>1.1900260700555485</v>
      </c>
      <c r="O22">
        <v>-0.39910041469312413</v>
      </c>
      <c r="P22">
        <v>-0.80746441667433855</v>
      </c>
      <c r="Q22">
        <v>-0.31570148255084673</v>
      </c>
      <c r="R22">
        <v>0.15965616563237264</v>
      </c>
      <c r="S22">
        <v>-0.6402553147218295</v>
      </c>
      <c r="T22">
        <v>0.77426891821427513</v>
      </c>
    </row>
    <row r="23" spans="1:20">
      <c r="A23">
        <v>1.4581005771569302</v>
      </c>
      <c r="B23">
        <v>-0.32153609299322383</v>
      </c>
      <c r="C23">
        <v>-0.84072593182652389</v>
      </c>
      <c r="D23">
        <v>-1.7384942839672108</v>
      </c>
      <c r="E23">
        <v>-0.36324376645798118</v>
      </c>
      <c r="F23">
        <v>1.5760570949453778</v>
      </c>
      <c r="H23">
        <v>3.9366898949542577</v>
      </c>
      <c r="I23">
        <v>-0.59050830320262016</v>
      </c>
      <c r="J23">
        <v>-1.0870398145902431</v>
      </c>
      <c r="K23">
        <v>-2.1333560756755539</v>
      </c>
      <c r="L23">
        <v>-0.3465677003821156</v>
      </c>
      <c r="M23">
        <v>1.1548928396150104</v>
      </c>
      <c r="O23">
        <v>1.45810057715693</v>
      </c>
      <c r="P23">
        <v>0.14037413705336221</v>
      </c>
      <c r="Q23">
        <v>-0.58113446509233213</v>
      </c>
      <c r="R23">
        <v>-1.3349644092937885</v>
      </c>
      <c r="S23">
        <v>-0.30616421498063762</v>
      </c>
      <c r="T23">
        <v>1.5578992158752012</v>
      </c>
    </row>
    <row r="24" spans="1:20">
      <c r="A24">
        <v>-0.80558069234368279</v>
      </c>
      <c r="B24">
        <v>-0.28124515606124056</v>
      </c>
      <c r="C24">
        <v>-0.73911907511568065</v>
      </c>
      <c r="D24">
        <v>-0.37889906785527117</v>
      </c>
      <c r="E24">
        <v>-0.81700382216377521</v>
      </c>
      <c r="F24">
        <v>-1.4779030062343006</v>
      </c>
      <c r="H24">
        <v>-2.1749675027927191</v>
      </c>
      <c r="I24">
        <v>-0.51651308673822582</v>
      </c>
      <c r="J24">
        <v>-0.95566442280222952</v>
      </c>
      <c r="K24">
        <v>-0.46495788679400246</v>
      </c>
      <c r="L24">
        <v>-0.77949620061395342</v>
      </c>
      <c r="M24">
        <v>-1.0829681266113307</v>
      </c>
      <c r="O24">
        <v>-0.80558069234368268</v>
      </c>
      <c r="P24">
        <v>-0.51440293811843696</v>
      </c>
      <c r="Q24">
        <v>-0.92830878782790305</v>
      </c>
      <c r="R24">
        <v>-0.71333686188380274</v>
      </c>
      <c r="S24">
        <v>-1.2080039005858532</v>
      </c>
      <c r="T24">
        <v>-1.8049340455927823</v>
      </c>
    </row>
    <row r="25" spans="1:20">
      <c r="A25">
        <v>0.54666065053431478</v>
      </c>
      <c r="B25">
        <v>2.4000900530246092</v>
      </c>
      <c r="C25">
        <v>1.2041259604043555</v>
      </c>
      <c r="D25">
        <v>1.7351737884970198</v>
      </c>
      <c r="E25">
        <v>-0.38044104749079988</v>
      </c>
      <c r="F25">
        <v>-0.54829109546088528</v>
      </c>
      <c r="H25">
        <v>1.4759156485101248</v>
      </c>
      <c r="I25">
        <v>4.4078196371407579</v>
      </c>
      <c r="J25">
        <v>1.5569079187286632</v>
      </c>
      <c r="K25">
        <v>2.1292814006818461</v>
      </c>
      <c r="L25">
        <v>-0.36297547579554007</v>
      </c>
      <c r="M25">
        <v>-0.40177317319484057</v>
      </c>
      <c r="O25">
        <v>0.54666065053431467</v>
      </c>
      <c r="P25">
        <v>2.452195152713375</v>
      </c>
      <c r="Q25">
        <v>1.7786403886766398</v>
      </c>
      <c r="R25">
        <v>2.2293061681978585</v>
      </c>
      <c r="S25">
        <v>0.8308268566156416</v>
      </c>
      <c r="T25">
        <v>0.96754673933318114</v>
      </c>
    </row>
    <row r="26" spans="1:20">
      <c r="A26">
        <v>1.1106711522592883</v>
      </c>
      <c r="B26">
        <v>-0.18704473075081962</v>
      </c>
      <c r="C26">
        <v>-0.32826168819378432</v>
      </c>
      <c r="D26">
        <v>0.54373404192858632</v>
      </c>
      <c r="E26">
        <v>7.896078683718219E-2</v>
      </c>
      <c r="F26">
        <v>-2.8684594540457677</v>
      </c>
      <c r="H26">
        <v>2.9986737336335061</v>
      </c>
      <c r="I26">
        <v>-0.3435118762265521</v>
      </c>
      <c r="J26">
        <v>-0.42443501641017645</v>
      </c>
      <c r="K26">
        <v>0.66723159955000111</v>
      </c>
      <c r="L26">
        <v>7.5335796072608388E-2</v>
      </c>
      <c r="M26">
        <v>-2.101931011781176</v>
      </c>
      <c r="O26">
        <v>1.110671152259288</v>
      </c>
      <c r="P26">
        <v>0.1620237252330568</v>
      </c>
      <c r="Q26">
        <v>-0.13186135901896309</v>
      </c>
      <c r="R26">
        <v>0.78099042753710801</v>
      </c>
      <c r="S26">
        <v>0.39652287676352793</v>
      </c>
      <c r="T26">
        <v>-1.4469835979358068</v>
      </c>
    </row>
    <row r="27" spans="1:20">
      <c r="A27">
        <v>-0.32293132100009647</v>
      </c>
      <c r="B27">
        <v>0.97966128678874553</v>
      </c>
      <c r="C27">
        <v>-1.809144742492489E-2</v>
      </c>
      <c r="D27">
        <v>-0.84319758898635988</v>
      </c>
      <c r="E27">
        <v>-1.3569373709935215</v>
      </c>
      <c r="F27">
        <v>-0.91764691256739583</v>
      </c>
      <c r="H27">
        <v>-0.87187433299293327</v>
      </c>
      <c r="I27">
        <v>1.7991700987270161</v>
      </c>
      <c r="J27">
        <v>-2.3391836637813395E-2</v>
      </c>
      <c r="K27">
        <v>-1.0347118860547009</v>
      </c>
      <c r="L27">
        <v>-1.2946420768990066</v>
      </c>
      <c r="M27">
        <v>-0.6724273200620543</v>
      </c>
      <c r="O27">
        <v>-0.32293132100009642</v>
      </c>
      <c r="P27">
        <v>0.83372566259410186</v>
      </c>
      <c r="Q27">
        <v>0.12973588811465395</v>
      </c>
      <c r="R27">
        <v>-0.76742929214917199</v>
      </c>
      <c r="S27">
        <v>-1.1891478640371194</v>
      </c>
      <c r="T27">
        <v>-0.78183042744186027</v>
      </c>
    </row>
    <row r="28" spans="1:20">
      <c r="A28">
        <v>-1.3411047038547248</v>
      </c>
      <c r="B28">
        <v>-1.0175945610410189</v>
      </c>
      <c r="C28">
        <v>0.2046584217482163</v>
      </c>
      <c r="D28">
        <v>-0.85077648410406059</v>
      </c>
      <c r="E28">
        <v>-0.46107007567057545</v>
      </c>
      <c r="F28">
        <v>-0.22749952518847161</v>
      </c>
      <c r="H28">
        <v>-3.6208156134433116</v>
      </c>
      <c r="I28">
        <v>-1.8688354143844457</v>
      </c>
      <c r="J28">
        <v>0.26461875910997579</v>
      </c>
      <c r="K28">
        <v>-1.0440121650923508</v>
      </c>
      <c r="L28">
        <v>-0.43990292634145883</v>
      </c>
      <c r="M28">
        <v>-0.1667056184059667</v>
      </c>
      <c r="O28">
        <v>-1.3411047038547246</v>
      </c>
      <c r="P28">
        <v>-1.3793600256521465</v>
      </c>
      <c r="Q28">
        <v>-0.29262322522426132</v>
      </c>
      <c r="R28">
        <v>-1.3032174330284403</v>
      </c>
      <c r="S28">
        <v>-1.1694850587864676</v>
      </c>
      <c r="T28">
        <v>-1.3898625320115181</v>
      </c>
    </row>
    <row r="29" spans="1:20">
      <c r="A29">
        <v>0.43293308796728203</v>
      </c>
      <c r="B29">
        <v>-2.8784184551579314E-2</v>
      </c>
      <c r="C29">
        <v>-0.26381611602322352</v>
      </c>
      <c r="D29">
        <v>0.55858935990418823</v>
      </c>
      <c r="E29">
        <v>-0.39440683698224577</v>
      </c>
      <c r="F29">
        <v>-0.33777213986411814</v>
      </c>
      <c r="H29">
        <v>1.168865398788407</v>
      </c>
      <c r="I29">
        <v>-5.2862805604167062E-2</v>
      </c>
      <c r="J29">
        <v>-0.3411083338713729</v>
      </c>
      <c r="K29">
        <v>0.68546098526130927</v>
      </c>
      <c r="L29">
        <v>-0.37630011339432734</v>
      </c>
      <c r="M29">
        <v>-0.24751046583374534</v>
      </c>
      <c r="O29">
        <v>0.43293308796728197</v>
      </c>
      <c r="P29">
        <v>0.10516125341166807</v>
      </c>
      <c r="Q29">
        <v>-0.17170341734709982</v>
      </c>
      <c r="R29">
        <v>0.620629540953472</v>
      </c>
      <c r="S29">
        <v>-0.1878188932922164</v>
      </c>
      <c r="T29">
        <v>3.73430936529979E-2</v>
      </c>
    </row>
    <row r="30" spans="1:20">
      <c r="A30">
        <v>-0.14921647166570351</v>
      </c>
      <c r="B30">
        <v>0.87407820215808707</v>
      </c>
      <c r="C30">
        <v>-0.25463884833695682</v>
      </c>
      <c r="D30">
        <v>0.96327597783856</v>
      </c>
      <c r="E30">
        <v>0.75135593639249776</v>
      </c>
      <c r="F30">
        <v>0.62260092167430381</v>
      </c>
      <c r="H30">
        <v>-0.40286588275856733</v>
      </c>
      <c r="I30">
        <v>1.6052643770652719</v>
      </c>
      <c r="J30">
        <v>-0.32924233213826248</v>
      </c>
      <c r="K30">
        <v>1.182063512561403</v>
      </c>
      <c r="L30">
        <v>0.71686212700396268</v>
      </c>
      <c r="M30">
        <v>0.4562254430283057</v>
      </c>
      <c r="O30">
        <v>-0.14921647166570348</v>
      </c>
      <c r="P30">
        <v>0.78640492444791354</v>
      </c>
      <c r="Q30">
        <v>-8.4371183103133712E-2</v>
      </c>
      <c r="R30">
        <v>0.942477299455596</v>
      </c>
      <c r="S30">
        <v>0.93905067395933428</v>
      </c>
      <c r="T30">
        <v>0.79396200166810671</v>
      </c>
    </row>
    <row r="31" spans="1:20">
      <c r="A31">
        <v>0.10327359884755227</v>
      </c>
      <c r="B31">
        <v>-0.47595806769546301</v>
      </c>
      <c r="C31">
        <v>2.0932575488156067</v>
      </c>
      <c r="D31">
        <v>1.3898085507591231</v>
      </c>
      <c r="E31">
        <v>1.4761085609447213</v>
      </c>
      <c r="F31">
        <v>-0.36321088989697248</v>
      </c>
      <c r="H31">
        <v>0.2788258501285556</v>
      </c>
      <c r="I31">
        <v>-0.87410775049869371</v>
      </c>
      <c r="J31">
        <v>2.7065351639750106</v>
      </c>
      <c r="K31">
        <v>1.7054738362566471</v>
      </c>
      <c r="L31">
        <v>1.4083422668731271</v>
      </c>
      <c r="M31">
        <v>-0.26615130718138558</v>
      </c>
      <c r="O31">
        <v>0.10327359884755226</v>
      </c>
      <c r="P31">
        <v>-0.42147482515372919</v>
      </c>
      <c r="Q31">
        <v>1.9182795218570263</v>
      </c>
      <c r="R31">
        <v>1.5107678584456334</v>
      </c>
      <c r="S31">
        <v>1.7195620745603526</v>
      </c>
      <c r="T31">
        <v>0.12850983099642571</v>
      </c>
    </row>
    <row r="32" spans="1:20">
      <c r="A32">
        <v>0.10327359884755227</v>
      </c>
      <c r="B32">
        <v>-0.47595806769546301</v>
      </c>
      <c r="C32">
        <v>2.0932575488156067</v>
      </c>
      <c r="D32">
        <v>1.3898085507591231</v>
      </c>
      <c r="E32">
        <v>1.4761085609447213</v>
      </c>
      <c r="F32">
        <v>-0.36321088989697248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16.909101408181151</v>
      </c>
      <c r="C2" s="9">
        <v>16.198280483369071</v>
      </c>
      <c r="D2" s="9">
        <v>16.712145296327581</v>
      </c>
      <c r="E2" s="9">
        <v>16.309995274128656</v>
      </c>
      <c r="F2" s="9">
        <v>16.805993000230441</v>
      </c>
      <c r="G2" s="9">
        <v>16.113997521493403</v>
      </c>
      <c r="H2" s="9">
        <v>15.205036728807414</v>
      </c>
      <c r="I2" s="9">
        <v>15.311288863575363</v>
      </c>
      <c r="J2" s="29">
        <v>14.054923065047296</v>
      </c>
      <c r="K2" s="9">
        <v>14.058363699382879</v>
      </c>
      <c r="L2" s="9">
        <v>13.617285865569258</v>
      </c>
      <c r="M2" s="9">
        <v>14.148211735979601</v>
      </c>
      <c r="N2" s="9">
        <v>13.376037123642872</v>
      </c>
      <c r="O2" s="9">
        <v>13.517688704500957</v>
      </c>
      <c r="P2" s="9">
        <v>12.765137703699962</v>
      </c>
    </row>
    <row r="3" spans="1:16">
      <c r="A3" s="26">
        <v>2</v>
      </c>
      <c r="B3" s="9">
        <v>16.88670224515889</v>
      </c>
      <c r="C3" s="9">
        <v>17.322300640233767</v>
      </c>
      <c r="D3" s="9">
        <v>18.941464827687653</v>
      </c>
      <c r="E3" s="9">
        <v>17.336181546967534</v>
      </c>
      <c r="F3" s="9">
        <v>19.964397156407955</v>
      </c>
      <c r="G3" s="9">
        <v>21.480508514086097</v>
      </c>
      <c r="H3" s="9">
        <v>21.600234929621472</v>
      </c>
      <c r="I3" s="9">
        <v>22.908594612388896</v>
      </c>
      <c r="J3" s="29">
        <v>22.42682323549954</v>
      </c>
      <c r="K3" s="9">
        <v>22.37563009928186</v>
      </c>
      <c r="L3" s="9">
        <v>21.910248505480968</v>
      </c>
      <c r="M3" s="9">
        <v>22.3231044599131</v>
      </c>
      <c r="N3" s="9">
        <v>23.687468925710263</v>
      </c>
      <c r="O3" s="9">
        <v>24.346789796117402</v>
      </c>
      <c r="P3" s="9">
        <v>27.179444846587</v>
      </c>
    </row>
    <row r="4" spans="1:16">
      <c r="A4" s="26">
        <v>3</v>
      </c>
      <c r="B4" s="9">
        <v>16.125413704279925</v>
      </c>
      <c r="C4" s="9">
        <v>16.19056283096403</v>
      </c>
      <c r="D4" s="9">
        <v>15.522665557426427</v>
      </c>
      <c r="E4" s="9">
        <v>15.378252048673817</v>
      </c>
      <c r="F4" s="9">
        <v>14.979430043513423</v>
      </c>
      <c r="G4" s="9">
        <v>13.673509639559255</v>
      </c>
      <c r="H4" s="9">
        <v>12.206224568744535</v>
      </c>
      <c r="I4" s="9">
        <v>12.136856070189422</v>
      </c>
      <c r="J4" s="29">
        <v>11.659993676824136</v>
      </c>
      <c r="K4" s="9">
        <v>11.429731338391495</v>
      </c>
      <c r="L4" s="9">
        <v>12.594292006942956</v>
      </c>
      <c r="M4" s="9">
        <v>11.448291556021999</v>
      </c>
      <c r="N4" s="9">
        <v>11.899893569682407</v>
      </c>
      <c r="O4" s="9">
        <v>12.393823253768124</v>
      </c>
      <c r="P4" s="9">
        <v>12.112334532102443</v>
      </c>
    </row>
    <row r="5" spans="1:16">
      <c r="A5" s="26">
        <v>4</v>
      </c>
      <c r="B5" s="9">
        <v>18.340454276320859</v>
      </c>
      <c r="C5" s="9">
        <v>19.019038558749703</v>
      </c>
      <c r="D5" s="9">
        <v>21.291287934173571</v>
      </c>
      <c r="E5" s="9">
        <v>21.671102708788958</v>
      </c>
      <c r="F5" s="9">
        <v>20.817169960786732</v>
      </c>
      <c r="G5" s="9">
        <v>19.472501480799053</v>
      </c>
      <c r="H5" s="9">
        <v>20.454045820564076</v>
      </c>
      <c r="I5" s="9">
        <v>23.430627936689451</v>
      </c>
      <c r="J5" s="29">
        <v>23.325907797867274</v>
      </c>
      <c r="K5" s="9">
        <v>21.055621173802145</v>
      </c>
      <c r="L5" s="9">
        <v>22.702298100455373</v>
      </c>
      <c r="M5" s="9">
        <v>21.147006536327094</v>
      </c>
      <c r="N5" s="9">
        <v>21.72817612530633</v>
      </c>
      <c r="O5" s="9">
        <v>21.080528661434212</v>
      </c>
      <c r="P5" s="9">
        <v>23.667883851065522</v>
      </c>
    </row>
    <row r="6" spans="1:16">
      <c r="A6" s="26">
        <v>5</v>
      </c>
      <c r="B6" s="9">
        <v>17.348263588437913</v>
      </c>
      <c r="C6" s="9">
        <v>18.877566965024066</v>
      </c>
      <c r="D6" s="9">
        <v>20.290914506485521</v>
      </c>
      <c r="E6" s="9">
        <v>21.383699606684647</v>
      </c>
      <c r="F6" s="9">
        <v>23.207150341588751</v>
      </c>
      <c r="G6" s="9">
        <v>26.248893381750666</v>
      </c>
      <c r="H6" s="9">
        <v>28.172100047259931</v>
      </c>
      <c r="I6" s="9">
        <v>26.420653169760794</v>
      </c>
      <c r="J6" s="29">
        <v>25.823420876450204</v>
      </c>
      <c r="K6" s="9">
        <v>29.221296455126595</v>
      </c>
      <c r="L6" s="9">
        <v>27.897212753678289</v>
      </c>
      <c r="M6" s="9">
        <v>28.606349055059795</v>
      </c>
      <c r="N6" s="9">
        <v>26.60271199039579</v>
      </c>
      <c r="O6" s="9">
        <v>25.847648088193054</v>
      </c>
      <c r="P6" s="9">
        <v>28.668957753900447</v>
      </c>
    </row>
    <row r="7" spans="1:16">
      <c r="A7" s="26">
        <v>6</v>
      </c>
      <c r="B7" s="9">
        <v>15.132808838885364</v>
      </c>
      <c r="C7" s="9">
        <v>14.894849049978912</v>
      </c>
      <c r="D7" s="9">
        <v>14.83618408172214</v>
      </c>
      <c r="E7" s="9">
        <v>15.119546542984576</v>
      </c>
      <c r="F7" s="9">
        <v>14.127815878862124</v>
      </c>
      <c r="G7" s="9">
        <v>15.135676818223404</v>
      </c>
      <c r="H7" s="9">
        <v>14.695550863216953</v>
      </c>
      <c r="I7" s="9">
        <v>15.216558805739174</v>
      </c>
      <c r="J7" s="29">
        <v>15.669649149672866</v>
      </c>
      <c r="K7" s="9">
        <v>15.997507855245329</v>
      </c>
      <c r="L7" s="9">
        <v>14.676896581061174</v>
      </c>
      <c r="M7" s="9">
        <v>14.850568004195772</v>
      </c>
      <c r="N7" s="9">
        <v>14.201548140715241</v>
      </c>
      <c r="O7" s="9">
        <v>14.075959332736023</v>
      </c>
      <c r="P7" s="9">
        <v>15.27197205524932</v>
      </c>
    </row>
    <row r="8" spans="1:16">
      <c r="A8" s="26">
        <v>7</v>
      </c>
      <c r="B8" s="9">
        <v>16.427808620059135</v>
      </c>
      <c r="C8" s="9">
        <v>15.973844641232363</v>
      </c>
      <c r="D8" s="9">
        <v>16.044085977202435</v>
      </c>
      <c r="E8" s="9">
        <v>16.551627017107648</v>
      </c>
      <c r="F8" s="9">
        <v>16.838059570020476</v>
      </c>
      <c r="G8" s="9">
        <v>17.990859736354139</v>
      </c>
      <c r="H8" s="9">
        <v>17.860478716486696</v>
      </c>
      <c r="I8" s="9">
        <v>18.561579573030109</v>
      </c>
      <c r="J8" s="29">
        <v>18.45233572864819</v>
      </c>
      <c r="K8" s="9">
        <v>17.850516422729399</v>
      </c>
      <c r="L8" s="9">
        <v>17.563531674175948</v>
      </c>
      <c r="M8" s="9">
        <v>16.829751055502776</v>
      </c>
      <c r="N8" s="9">
        <v>18.420190253275329</v>
      </c>
      <c r="O8" s="9">
        <v>18.066967459366758</v>
      </c>
      <c r="P8" s="9">
        <v>16.634365770652366</v>
      </c>
    </row>
    <row r="9" spans="1:16">
      <c r="A9" s="26">
        <v>8</v>
      </c>
      <c r="B9" s="9">
        <v>18.166625332811602</v>
      </c>
      <c r="C9" s="9">
        <v>17.632630342473156</v>
      </c>
      <c r="D9" s="9">
        <v>18.606343136437392</v>
      </c>
      <c r="E9" s="9">
        <v>19.803742815886864</v>
      </c>
      <c r="F9" s="9">
        <v>20.272255529061038</v>
      </c>
      <c r="G9" s="9">
        <v>24.331266965099783</v>
      </c>
      <c r="H9" s="9">
        <v>24.527338958871255</v>
      </c>
      <c r="I9" s="9">
        <v>25.689577812284735</v>
      </c>
      <c r="J9" s="29">
        <v>27.578466251833358</v>
      </c>
      <c r="K9" s="9">
        <v>27.597082862187005</v>
      </c>
      <c r="L9" s="9">
        <v>29.106391407699832</v>
      </c>
      <c r="M9" s="9">
        <v>30.492430249670679</v>
      </c>
      <c r="N9" s="9">
        <v>32.375510453998061</v>
      </c>
      <c r="O9" s="9">
        <v>33.310512496735363</v>
      </c>
      <c r="P9" s="9">
        <v>32.166112502395777</v>
      </c>
    </row>
    <row r="10" spans="1:16">
      <c r="A10" s="26">
        <v>9</v>
      </c>
      <c r="B10" s="9">
        <v>15.187652303540615</v>
      </c>
      <c r="C10" s="9">
        <v>14.277737835343487</v>
      </c>
      <c r="D10" s="9">
        <v>15.300217910844099</v>
      </c>
      <c r="E10" s="9">
        <v>15.178488896538887</v>
      </c>
      <c r="F10" s="9">
        <v>15.546173499205617</v>
      </c>
      <c r="G10" s="9">
        <v>14.928664632450225</v>
      </c>
      <c r="H10" s="9">
        <v>12.624906896821907</v>
      </c>
      <c r="I10" s="9">
        <v>12.689627358714368</v>
      </c>
      <c r="J10" s="29">
        <v>12.690840692666475</v>
      </c>
      <c r="K10" s="9">
        <v>12.411099141935892</v>
      </c>
      <c r="L10" s="9">
        <v>14.002687524702361</v>
      </c>
      <c r="M10" s="9">
        <v>14.47161363088815</v>
      </c>
      <c r="N10" s="9">
        <v>14.485004825836535</v>
      </c>
      <c r="O10" s="9">
        <v>14.95720291605222</v>
      </c>
      <c r="P10" s="9">
        <v>15.021929809148252</v>
      </c>
    </row>
    <row r="11" spans="1:16">
      <c r="A11" s="26">
        <v>10</v>
      </c>
      <c r="B11" s="9">
        <v>15.978520653173723</v>
      </c>
      <c r="C11" s="9">
        <v>16.148329022529349</v>
      </c>
      <c r="D11" s="9">
        <v>15.927329939428768</v>
      </c>
      <c r="E11" s="9">
        <v>16.9099251290354</v>
      </c>
      <c r="F11" s="9">
        <v>17.577752264277425</v>
      </c>
      <c r="G11" s="9">
        <v>18.168921585318991</v>
      </c>
      <c r="H11" s="9">
        <v>18.789129059029261</v>
      </c>
      <c r="I11" s="9">
        <v>21.937859198145308</v>
      </c>
      <c r="J11" s="29">
        <v>21.877378744406069</v>
      </c>
      <c r="K11" s="9">
        <v>23.479011469756887</v>
      </c>
      <c r="L11" s="9">
        <v>24.19892731071613</v>
      </c>
      <c r="M11" s="9">
        <v>28.056688011720627</v>
      </c>
      <c r="N11" s="9">
        <v>29.929751054929923</v>
      </c>
      <c r="O11" s="9">
        <v>29.582507056941164</v>
      </c>
      <c r="P11" s="9">
        <v>33.636066938310563</v>
      </c>
    </row>
    <row r="12" spans="1:16">
      <c r="A12" s="26">
        <v>11</v>
      </c>
      <c r="B12" s="9">
        <v>14.650526322028492</v>
      </c>
      <c r="C12" s="9">
        <v>14.020887768467786</v>
      </c>
      <c r="D12" s="9">
        <v>13.334204412605528</v>
      </c>
      <c r="E12" s="9">
        <v>13.932367434518193</v>
      </c>
      <c r="F12" s="9">
        <v>14.991406483272359</v>
      </c>
      <c r="G12" s="9">
        <v>15.396390858159842</v>
      </c>
      <c r="H12" s="9">
        <v>17.626318015471472</v>
      </c>
      <c r="I12" s="9">
        <v>18.982748520322009</v>
      </c>
      <c r="J12" s="29">
        <v>19.483622055479657</v>
      </c>
      <c r="K12" s="9">
        <v>20.303993525263831</v>
      </c>
      <c r="L12" s="9">
        <v>20.339736656514507</v>
      </c>
      <c r="M12" s="9">
        <v>20.067114337643464</v>
      </c>
      <c r="N12" s="9">
        <v>19.733906703668094</v>
      </c>
      <c r="O12" s="9">
        <v>19.751273467853519</v>
      </c>
      <c r="P12" s="9">
        <v>20.800107796615027</v>
      </c>
    </row>
    <row r="13" spans="1:16">
      <c r="A13" s="26">
        <v>12</v>
      </c>
      <c r="B13" s="9">
        <v>19.634603207128603</v>
      </c>
      <c r="C13" s="9">
        <v>20.023457312508647</v>
      </c>
      <c r="D13" s="9">
        <v>19.554947972421505</v>
      </c>
      <c r="E13" s="9">
        <v>20.325299960065358</v>
      </c>
      <c r="F13" s="9">
        <v>18.785846468196567</v>
      </c>
      <c r="G13" s="9">
        <v>21.372161176954869</v>
      </c>
      <c r="H13" s="9">
        <v>19.721867090171866</v>
      </c>
      <c r="I13" s="9">
        <v>18.652465183195169</v>
      </c>
      <c r="J13" s="29">
        <v>19.310233396930204</v>
      </c>
      <c r="K13" s="9">
        <v>20.997919392931042</v>
      </c>
      <c r="L13" s="9">
        <v>20.283504557506625</v>
      </c>
      <c r="M13" s="9">
        <v>17.795305600521431</v>
      </c>
      <c r="N13" s="9">
        <v>19.436911820984488</v>
      </c>
      <c r="O13" s="9">
        <v>18.941162269290874</v>
      </c>
      <c r="P13" s="9">
        <v>19.53816688014895</v>
      </c>
    </row>
    <row r="14" spans="1:16">
      <c r="A14" s="26">
        <v>13</v>
      </c>
      <c r="B14" s="9">
        <v>16.370753414462691</v>
      </c>
      <c r="C14" s="9">
        <v>16.093654841916244</v>
      </c>
      <c r="D14" s="9">
        <v>15.955883341653534</v>
      </c>
      <c r="E14" s="9">
        <v>16.70375416341119</v>
      </c>
      <c r="F14" s="9">
        <v>16.50847027280258</v>
      </c>
      <c r="G14" s="9">
        <v>16.387665474270595</v>
      </c>
      <c r="H14" s="9">
        <v>17.333848492005725</v>
      </c>
      <c r="I14" s="9">
        <v>17.921053896788361</v>
      </c>
      <c r="J14" s="29">
        <v>21.650268588856214</v>
      </c>
      <c r="K14" s="9">
        <v>20.647413442480705</v>
      </c>
      <c r="L14" s="9">
        <v>19.8208738498091</v>
      </c>
      <c r="M14" s="9">
        <v>21.12482463223207</v>
      </c>
      <c r="N14" s="9">
        <v>23.780629498323091</v>
      </c>
      <c r="O14" s="9">
        <v>25.038592983257388</v>
      </c>
      <c r="P14" s="9">
        <v>24.694719528905377</v>
      </c>
    </row>
    <row r="15" spans="1:16">
      <c r="A15" s="26">
        <v>14</v>
      </c>
      <c r="B15" s="9">
        <v>13.810509574815883</v>
      </c>
      <c r="C15" s="9">
        <v>14.975584766631314</v>
      </c>
      <c r="D15" s="9">
        <v>14.087628377914054</v>
      </c>
      <c r="E15" s="9">
        <v>13.387420638744674</v>
      </c>
      <c r="F15" s="9">
        <v>14.301725653448063</v>
      </c>
      <c r="G15" s="9">
        <v>12.973004710273207</v>
      </c>
      <c r="H15" s="9">
        <v>11.675179143910796</v>
      </c>
      <c r="I15" s="9">
        <v>11.295865763231427</v>
      </c>
      <c r="J15" s="29">
        <v>10.118939092827627</v>
      </c>
      <c r="K15" s="9">
        <v>9.3987669464707597</v>
      </c>
      <c r="L15" s="9">
        <v>9.8346417100646857</v>
      </c>
      <c r="M15" s="9">
        <v>10.390158249813473</v>
      </c>
      <c r="N15" s="9">
        <v>9.9857578895151367</v>
      </c>
      <c r="O15" s="9">
        <v>11.079864229134026</v>
      </c>
      <c r="P15" s="9">
        <v>10.98369846246422</v>
      </c>
    </row>
    <row r="16" spans="1:16">
      <c r="A16" s="26">
        <v>15</v>
      </c>
      <c r="B16" s="9">
        <v>16.087820547091287</v>
      </c>
      <c r="C16" s="9">
        <v>16.121633970303943</v>
      </c>
      <c r="D16" s="9">
        <v>16.5393196433401</v>
      </c>
      <c r="E16" s="9">
        <v>17.468233178723185</v>
      </c>
      <c r="F16" s="9">
        <v>16.873789318399048</v>
      </c>
      <c r="G16" s="9">
        <v>18.310653051399715</v>
      </c>
      <c r="H16" s="9">
        <v>20.73962107625934</v>
      </c>
      <c r="I16" s="9">
        <v>22.450310765071219</v>
      </c>
      <c r="J16" s="29">
        <v>22.762418793402837</v>
      </c>
      <c r="K16" s="9">
        <v>22.778371993446491</v>
      </c>
      <c r="L16" s="9">
        <v>23.919009970022888</v>
      </c>
      <c r="M16" s="9">
        <v>24.194465429576379</v>
      </c>
      <c r="N16" s="9">
        <v>25.055203334454884</v>
      </c>
      <c r="O16" s="9">
        <v>25.481515462507371</v>
      </c>
      <c r="P16" s="9">
        <v>24.944192968602579</v>
      </c>
    </row>
    <row r="17" spans="1:16">
      <c r="A17" s="26">
        <v>16</v>
      </c>
      <c r="B17" s="9">
        <v>14.616961552914127</v>
      </c>
      <c r="C17" s="9">
        <v>13.884887108104079</v>
      </c>
      <c r="D17" s="9">
        <v>12.842174130671861</v>
      </c>
      <c r="E17" s="9">
        <v>11.730046035073959</v>
      </c>
      <c r="F17" s="9">
        <v>12.158763758167696</v>
      </c>
      <c r="G17" s="9">
        <v>11.469091511354842</v>
      </c>
      <c r="H17" s="9">
        <v>14.445056304988615</v>
      </c>
      <c r="I17" s="9">
        <v>15.130230277372778</v>
      </c>
      <c r="J17" s="29">
        <v>13.702991018595631</v>
      </c>
      <c r="K17" s="9">
        <v>12.783440234846074</v>
      </c>
      <c r="L17" s="9">
        <v>12.049780492401684</v>
      </c>
      <c r="M17" s="9">
        <v>11.611355819546791</v>
      </c>
      <c r="N17" s="9">
        <v>11.611014492334657</v>
      </c>
      <c r="O17" s="9">
        <v>10.838834568087647</v>
      </c>
      <c r="P17" s="9">
        <v>10.800819287006465</v>
      </c>
    </row>
    <row r="18" spans="1:16">
      <c r="A18" s="26">
        <v>17</v>
      </c>
      <c r="B18" s="9">
        <v>14.632919852753684</v>
      </c>
      <c r="C18" s="9">
        <v>15.183329601650579</v>
      </c>
      <c r="D18" s="9">
        <v>14.471708060574178</v>
      </c>
      <c r="E18" s="9">
        <v>13.92275607489295</v>
      </c>
      <c r="F18" s="9">
        <v>13.764066257758724</v>
      </c>
      <c r="G18" s="9">
        <v>13.244775321659093</v>
      </c>
      <c r="H18" s="9">
        <v>13.754650687016211</v>
      </c>
      <c r="I18" s="9">
        <v>13.594393693932897</v>
      </c>
      <c r="J18" s="29">
        <v>13.924028890854638</v>
      </c>
      <c r="K18" s="9">
        <v>13.117330594311341</v>
      </c>
      <c r="L18" s="9">
        <v>13.662830673383896</v>
      </c>
      <c r="M18" s="9">
        <v>13.22264302075236</v>
      </c>
      <c r="N18" s="9">
        <v>11.770266477171919</v>
      </c>
      <c r="O18" s="9">
        <v>11.347365806087314</v>
      </c>
      <c r="P18" s="9">
        <v>11.729379739192003</v>
      </c>
    </row>
    <row r="19" spans="1:16">
      <c r="A19" s="26">
        <v>18</v>
      </c>
      <c r="B19" s="9">
        <v>16.782008000892763</v>
      </c>
      <c r="C19" s="9">
        <v>17.62715515638228</v>
      </c>
      <c r="D19" s="9">
        <v>18.318722245539444</v>
      </c>
      <c r="E19" s="9">
        <v>20.513904980981039</v>
      </c>
      <c r="F19" s="9">
        <v>21.980114896960785</v>
      </c>
      <c r="G19" s="9">
        <v>22.503996622140487</v>
      </c>
      <c r="H19" s="9">
        <v>23.366941023099457</v>
      </c>
      <c r="I19" s="9">
        <v>21.596508427321133</v>
      </c>
      <c r="J19" s="29">
        <v>20.40755310422977</v>
      </c>
      <c r="K19" s="9">
        <v>20.522612718941151</v>
      </c>
      <c r="L19" s="9">
        <v>19.285544314505263</v>
      </c>
      <c r="M19" s="9">
        <v>17.827049456997635</v>
      </c>
      <c r="N19" s="9">
        <v>19.943292551883093</v>
      </c>
      <c r="O19" s="9">
        <v>21.64862818478209</v>
      </c>
      <c r="P19" s="9">
        <v>23.26253244768942</v>
      </c>
    </row>
    <row r="20" spans="1:16">
      <c r="A20" s="26">
        <v>19</v>
      </c>
      <c r="B20" s="9">
        <v>15.311043593866502</v>
      </c>
      <c r="C20" s="9">
        <v>15.691917712228316</v>
      </c>
      <c r="D20" s="9">
        <v>15.79302380369667</v>
      </c>
      <c r="E20" s="9">
        <v>16.859313230720335</v>
      </c>
      <c r="F20" s="9">
        <v>16.769616431829643</v>
      </c>
      <c r="G20" s="9">
        <v>16.491104691352799</v>
      </c>
      <c r="H20" s="9">
        <v>15.622430285560592</v>
      </c>
      <c r="I20" s="9">
        <v>16.021981719333006</v>
      </c>
      <c r="J20" s="29">
        <v>16.099808158578767</v>
      </c>
      <c r="K20" s="9">
        <v>17.257857248783345</v>
      </c>
      <c r="L20" s="9">
        <v>16.67680525821487</v>
      </c>
      <c r="M20" s="9">
        <v>17.255266575495558</v>
      </c>
      <c r="N20" s="9">
        <v>15.443871843411909</v>
      </c>
      <c r="O20" s="9">
        <v>15.940930466210043</v>
      </c>
      <c r="P20" s="9">
        <v>15.947202395020872</v>
      </c>
    </row>
    <row r="21" spans="1:16">
      <c r="A21" s="26">
        <v>20</v>
      </c>
      <c r="B21" s="9">
        <v>14.233945723077159</v>
      </c>
      <c r="C21" s="9">
        <v>15.061363634899701</v>
      </c>
      <c r="D21" s="9">
        <v>14.280811423202861</v>
      </c>
      <c r="E21" s="9">
        <v>13.655696323059193</v>
      </c>
      <c r="F21" s="9">
        <v>14.637736584557596</v>
      </c>
      <c r="G21" s="9">
        <v>14.791176833694996</v>
      </c>
      <c r="H21" s="9">
        <v>13.995397697002129</v>
      </c>
      <c r="I21" s="9">
        <v>12.982600575494263</v>
      </c>
      <c r="J21" s="29">
        <v>12.945661582531995</v>
      </c>
      <c r="K21" s="9">
        <v>13.423509527542384</v>
      </c>
      <c r="L21" s="9">
        <v>13.46067740816787</v>
      </c>
      <c r="M21" s="9">
        <v>14.303032103630253</v>
      </c>
      <c r="N21" s="9">
        <v>13.558674453777668</v>
      </c>
      <c r="O21" s="9">
        <v>13.297033100888857</v>
      </c>
      <c r="P21" s="9">
        <v>11.840743417675016</v>
      </c>
    </row>
    <row r="22" spans="1:16">
      <c r="A22" s="26">
        <v>21</v>
      </c>
      <c r="B22" s="9">
        <v>15.344001330330872</v>
      </c>
      <c r="C22" s="9">
        <v>14.469719963806455</v>
      </c>
      <c r="D22" s="9">
        <v>16.99740953244736</v>
      </c>
      <c r="E22" s="9">
        <v>16.121062390724607</v>
      </c>
      <c r="F22" s="9">
        <v>15.413067873456068</v>
      </c>
      <c r="G22" s="9">
        <v>16.976014638112282</v>
      </c>
      <c r="H22" s="9">
        <v>19.241415128504922</v>
      </c>
      <c r="I22" s="9">
        <v>19.926188488899179</v>
      </c>
      <c r="J22" s="29">
        <v>23.29447445531148</v>
      </c>
      <c r="K22" s="9">
        <v>24.603230848821216</v>
      </c>
      <c r="L22" s="9">
        <v>23.944638253105147</v>
      </c>
      <c r="M22" s="9">
        <v>21.759622583972011</v>
      </c>
      <c r="N22" s="9">
        <v>22.66885981171303</v>
      </c>
      <c r="O22" s="9">
        <v>22.379030902926068</v>
      </c>
      <c r="P22" s="9">
        <v>21.475103117958113</v>
      </c>
    </row>
    <row r="23" spans="1:16">
      <c r="A23" s="26">
        <v>22</v>
      </c>
      <c r="B23" s="9">
        <v>15.582280383914672</v>
      </c>
      <c r="C23" s="9">
        <v>16.585426249054038</v>
      </c>
      <c r="D23" s="9">
        <v>16.602273158792809</v>
      </c>
      <c r="E23" s="9">
        <v>15.93540960197133</v>
      </c>
      <c r="F23" s="9">
        <v>16.683319103131559</v>
      </c>
      <c r="G23" s="9">
        <v>16.907208880509547</v>
      </c>
      <c r="H23" s="9">
        <v>17.578429676989348</v>
      </c>
      <c r="I23" s="9">
        <v>17.115445028142965</v>
      </c>
      <c r="J23" s="29">
        <v>17.498662253316724</v>
      </c>
      <c r="K23" s="9">
        <v>15.827958034354344</v>
      </c>
      <c r="L23" s="9">
        <v>17.214505323013075</v>
      </c>
      <c r="M23" s="9">
        <v>18.099707353343156</v>
      </c>
      <c r="N23" s="9">
        <v>18.816613220232377</v>
      </c>
      <c r="O23" s="9">
        <v>18.432226409291484</v>
      </c>
      <c r="P23" s="9">
        <v>18.152975013490927</v>
      </c>
    </row>
    <row r="24" spans="1:16">
      <c r="A24" s="26">
        <v>23</v>
      </c>
      <c r="B24" s="9">
        <v>15.358998266639217</v>
      </c>
      <c r="C24" s="9">
        <v>14.630960002012625</v>
      </c>
      <c r="D24" s="9">
        <v>12.379736964724545</v>
      </c>
      <c r="E24" s="9">
        <v>13.678178328728471</v>
      </c>
      <c r="F24" s="9">
        <v>14.949880904695103</v>
      </c>
      <c r="G24" s="9">
        <v>16.849022308696366</v>
      </c>
      <c r="H24" s="9">
        <v>18.325275534441449</v>
      </c>
      <c r="I24" s="9">
        <v>16.86765964911239</v>
      </c>
      <c r="J24" s="29">
        <v>17.732634058002883</v>
      </c>
      <c r="K24" s="9">
        <v>16.9953988664357</v>
      </c>
      <c r="L24" s="9">
        <v>17.618110083470896</v>
      </c>
      <c r="M24" s="9">
        <v>19.74250562040617</v>
      </c>
      <c r="N24" s="9">
        <v>20.695811143470461</v>
      </c>
      <c r="O24" s="9">
        <v>23.246261790312015</v>
      </c>
      <c r="P24" s="9">
        <v>22.954286100449167</v>
      </c>
    </row>
    <row r="25" spans="1:16">
      <c r="A25" s="26">
        <v>24</v>
      </c>
      <c r="B25" s="9">
        <v>17.672929126322163</v>
      </c>
      <c r="C25" s="9">
        <v>19.87529809702778</v>
      </c>
      <c r="D25" s="9">
        <v>19.746667218756535</v>
      </c>
      <c r="E25" s="9">
        <v>19.034211360537373</v>
      </c>
      <c r="F25" s="9">
        <v>18.193736663843076</v>
      </c>
      <c r="G25" s="9">
        <v>19.17844951754342</v>
      </c>
      <c r="H25" s="9">
        <v>17.906984636297651</v>
      </c>
      <c r="I25" s="9">
        <v>18.412288092210776</v>
      </c>
      <c r="J25" s="29">
        <v>17.847271623187279</v>
      </c>
      <c r="K25" s="9">
        <v>18.233462622426384</v>
      </c>
      <c r="L25" s="9">
        <v>18.814318623386836</v>
      </c>
      <c r="M25" s="9">
        <v>18.806605279443588</v>
      </c>
      <c r="N25" s="9">
        <v>18.965101645481269</v>
      </c>
      <c r="O25" s="9">
        <v>19.47176532151423</v>
      </c>
      <c r="P25" s="9">
        <v>22.899482175407943</v>
      </c>
    </row>
    <row r="26" spans="1:16">
      <c r="A26" s="26">
        <v>25</v>
      </c>
      <c r="B26" s="9">
        <v>18.162388342039772</v>
      </c>
      <c r="C26" s="9">
        <v>16.556556570068778</v>
      </c>
      <c r="D26" s="9">
        <v>16.057210827372842</v>
      </c>
      <c r="E26" s="9">
        <v>15.472882877090653</v>
      </c>
      <c r="F26" s="9">
        <v>17.844322248056709</v>
      </c>
      <c r="G26" s="9">
        <v>17.66705686071176</v>
      </c>
      <c r="H26" s="9">
        <v>16.609173487157417</v>
      </c>
      <c r="I26" s="9">
        <v>16.837732744718011</v>
      </c>
      <c r="J26" s="29">
        <v>18.406277862316173</v>
      </c>
      <c r="K26" s="9">
        <v>21.458878196007795</v>
      </c>
      <c r="L26" s="9">
        <v>23.096882744957927</v>
      </c>
      <c r="M26" s="9">
        <v>24.486512975097327</v>
      </c>
      <c r="N26" s="9">
        <v>25.218331622048609</v>
      </c>
      <c r="O26" s="9">
        <v>24.456601488840587</v>
      </c>
      <c r="P26" s="9">
        <v>24.298173262613595</v>
      </c>
    </row>
    <row r="27" spans="1:16">
      <c r="A27" s="26">
        <v>26</v>
      </c>
      <c r="B27" s="9">
        <v>15.633572128277358</v>
      </c>
      <c r="C27" s="9">
        <v>14.219129987297231</v>
      </c>
      <c r="D27" s="9">
        <v>14.950924591214447</v>
      </c>
      <c r="E27" s="9">
        <v>15.601984094422708</v>
      </c>
      <c r="F27" s="9">
        <v>17.669190190794417</v>
      </c>
      <c r="G27" s="9">
        <v>18.592143339657291</v>
      </c>
      <c r="H27" s="9">
        <v>17.965820601166524</v>
      </c>
      <c r="I27" s="9">
        <v>18.3058195396797</v>
      </c>
      <c r="J27" s="29">
        <v>19.682266192057273</v>
      </c>
      <c r="K27" s="9">
        <v>20.818975163419712</v>
      </c>
      <c r="L27" s="9">
        <v>20.357022152326341</v>
      </c>
      <c r="M27" s="9">
        <v>21.027061506650693</v>
      </c>
      <c r="N27" s="9">
        <v>20.495474794092079</v>
      </c>
      <c r="O27" s="9">
        <v>21.397911971943376</v>
      </c>
      <c r="P27" s="9">
        <v>22.939229521272757</v>
      </c>
    </row>
    <row r="28" spans="1:16">
      <c r="A28" s="26">
        <v>27</v>
      </c>
      <c r="B28" s="9">
        <v>15.292713989068277</v>
      </c>
      <c r="C28" s="9">
        <v>16.221948706447595</v>
      </c>
      <c r="D28" s="9">
        <v>17.680428533277933</v>
      </c>
      <c r="E28" s="9">
        <v>18.28184662814926</v>
      </c>
      <c r="F28" s="9">
        <v>19.795390613393813</v>
      </c>
      <c r="G28" s="9">
        <v>20.15132956106379</v>
      </c>
      <c r="H28" s="9">
        <v>17.95335124011547</v>
      </c>
      <c r="I28" s="9">
        <v>19.269058627845808</v>
      </c>
      <c r="J28" s="29">
        <v>18.81541813882367</v>
      </c>
      <c r="K28" s="9">
        <v>17.81430995441449</v>
      </c>
      <c r="L28" s="9">
        <v>17.46266978767564</v>
      </c>
      <c r="M28" s="9">
        <v>16.566155597753049</v>
      </c>
      <c r="N28" s="9">
        <v>17.737401956759303</v>
      </c>
      <c r="O28" s="9">
        <v>19.125379703691976</v>
      </c>
      <c r="P28" s="9">
        <v>18.000077990902565</v>
      </c>
    </row>
    <row r="29" spans="1:16">
      <c r="A29" s="26">
        <v>28</v>
      </c>
      <c r="B29" s="9">
        <v>14.894562203729382</v>
      </c>
      <c r="C29" s="9">
        <v>14.683273604470356</v>
      </c>
      <c r="D29" s="9">
        <v>15.682639729173369</v>
      </c>
      <c r="E29" s="9">
        <v>16.560704831261006</v>
      </c>
      <c r="F29" s="9">
        <v>16.717479886715509</v>
      </c>
      <c r="G29" s="9">
        <v>16.66216927808934</v>
      </c>
      <c r="H29" s="9">
        <v>16.266232835159709</v>
      </c>
      <c r="I29" s="9">
        <v>18.044091637237806</v>
      </c>
      <c r="J29" s="29">
        <v>19.499854844869247</v>
      </c>
      <c r="K29" s="9">
        <v>19.953084772666841</v>
      </c>
      <c r="L29" s="9">
        <v>21.548274266180648</v>
      </c>
      <c r="M29" s="9">
        <v>20.263700214323467</v>
      </c>
      <c r="N29" s="9">
        <v>20.763420035186545</v>
      </c>
      <c r="O29" s="9">
        <v>19.182192619540562</v>
      </c>
      <c r="P29" s="9">
        <v>19.255561372284387</v>
      </c>
    </row>
    <row r="30" spans="1:16">
      <c r="A30" s="26">
        <v>29</v>
      </c>
      <c r="B30" s="9">
        <v>14.904000257940021</v>
      </c>
      <c r="C30" s="9">
        <v>14.90005484445757</v>
      </c>
      <c r="D30" s="9">
        <v>14.106154034784947</v>
      </c>
      <c r="E30" s="9">
        <v>14.851563997822048</v>
      </c>
      <c r="F30" s="9">
        <v>15.318794259300553</v>
      </c>
      <c r="G30" s="9">
        <v>13.799768272601973</v>
      </c>
      <c r="H30" s="9">
        <v>15.098186209316447</v>
      </c>
      <c r="I30" s="9">
        <v>14.410013281812724</v>
      </c>
      <c r="J30" s="29">
        <v>14.521084451294914</v>
      </c>
      <c r="K30" s="9">
        <v>14.996410478071015</v>
      </c>
      <c r="L30" s="9">
        <v>16.04984087672651</v>
      </c>
      <c r="M30" s="9">
        <v>17.070974658282143</v>
      </c>
      <c r="N30" s="9">
        <v>17.081960795231907</v>
      </c>
      <c r="O30" s="9">
        <v>17.42374700310884</v>
      </c>
      <c r="P30" s="9">
        <v>18.550682286301051</v>
      </c>
    </row>
    <row r="31" spans="1:16">
      <c r="A31" s="26">
        <v>30</v>
      </c>
      <c r="B31" s="9">
        <v>16.284637558221011</v>
      </c>
      <c r="C31" s="9">
        <v>15.167778007319178</v>
      </c>
      <c r="D31" s="9">
        <v>14.076275715870114</v>
      </c>
      <c r="E31" s="9">
        <v>13.702493331186457</v>
      </c>
      <c r="F31" s="9">
        <v>13.683345368795523</v>
      </c>
      <c r="G31" s="9">
        <v>12.264114081612592</v>
      </c>
      <c r="H31" s="9">
        <v>11.778116741927018</v>
      </c>
      <c r="I31" s="9">
        <v>11.06631984784633</v>
      </c>
      <c r="J31" s="29">
        <v>10.559446207027891</v>
      </c>
      <c r="K31" s="9">
        <v>11.687368295251021</v>
      </c>
      <c r="L31" s="9">
        <v>12.487219068020829</v>
      </c>
      <c r="M31" s="9">
        <v>12.823661191847645</v>
      </c>
      <c r="N31" s="9">
        <v>13.445015608737648</v>
      </c>
      <c r="O31" s="9">
        <v>14.930142775671698</v>
      </c>
      <c r="P31" s="9">
        <v>14.556676369656069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3.8778917774795501</v>
      </c>
      <c r="C2" s="9">
        <v>3.6867628785084623</v>
      </c>
      <c r="D2" s="9">
        <v>3.328614767262005</v>
      </c>
      <c r="E2" s="9">
        <v>3.4920855498946248</v>
      </c>
      <c r="F2" s="9">
        <v>3.3491299790609776</v>
      </c>
      <c r="G2" s="9">
        <v>3.311327019195407</v>
      </c>
      <c r="H2" s="9">
        <v>3.4093684935544184</v>
      </c>
      <c r="I2" s="9">
        <v>3.5175242129450259</v>
      </c>
      <c r="J2" s="29">
        <v>3.7370479577953066</v>
      </c>
      <c r="K2" s="9">
        <v>3.7589911880750968</v>
      </c>
      <c r="L2" s="9">
        <v>3.9587429509900081</v>
      </c>
      <c r="M2" s="9">
        <v>3.9814003050403244</v>
      </c>
      <c r="N2" s="9">
        <v>3.7728577053120604</v>
      </c>
      <c r="O2" s="9">
        <v>3.5899171748950813</v>
      </c>
      <c r="P2" s="9">
        <v>3.3717497507614631</v>
      </c>
    </row>
    <row r="3" spans="1:16">
      <c r="A3" s="26">
        <v>2</v>
      </c>
      <c r="B3" s="9">
        <v>3.8791328000291339</v>
      </c>
      <c r="C3" s="9">
        <v>3.7322818126654957</v>
      </c>
      <c r="D3" s="9">
        <v>3.5760850732238119</v>
      </c>
      <c r="E3" s="9">
        <v>3.690874878273172</v>
      </c>
      <c r="F3" s="9">
        <v>3.7721031948148491</v>
      </c>
      <c r="G3" s="9">
        <v>3.7533541039553002</v>
      </c>
      <c r="H3" s="9">
        <v>3.9421460018736618</v>
      </c>
      <c r="I3" s="9">
        <v>4.1257741973255717</v>
      </c>
      <c r="J3" s="29">
        <v>4.139456270375323</v>
      </c>
      <c r="K3" s="9">
        <v>4.1723513995295525</v>
      </c>
      <c r="L3" s="9">
        <v>4.3020042807448871</v>
      </c>
      <c r="M3" s="9">
        <v>4.469823289283859</v>
      </c>
      <c r="N3" s="9">
        <v>4.456385155619599</v>
      </c>
      <c r="O3" s="9">
        <v>4.6606757143148796</v>
      </c>
      <c r="P3" s="9">
        <v>4.9782678370376647</v>
      </c>
    </row>
    <row r="4" spans="1:16">
      <c r="A4" s="26">
        <v>3</v>
      </c>
      <c r="B4" s="9">
        <v>4.021862230320953</v>
      </c>
      <c r="C4" s="9">
        <v>3.7422650734291363</v>
      </c>
      <c r="D4" s="9">
        <v>3.7064718978274733</v>
      </c>
      <c r="E4" s="9">
        <v>3.9475197224002856</v>
      </c>
      <c r="F4" s="9">
        <v>4.019430253440051</v>
      </c>
      <c r="G4" s="9">
        <v>3.9751550577720014</v>
      </c>
      <c r="H4" s="9">
        <v>3.7510532456994197</v>
      </c>
      <c r="I4" s="9">
        <v>3.688699675888877</v>
      </c>
      <c r="J4" s="29">
        <v>4.0942481515101834</v>
      </c>
      <c r="K4" s="9">
        <v>4.0611810834471207</v>
      </c>
      <c r="L4" s="9">
        <v>4.0829577142798756</v>
      </c>
      <c r="M4" s="9">
        <v>4.0880545971521585</v>
      </c>
      <c r="N4" s="9">
        <v>4.0417643225634539</v>
      </c>
      <c r="O4" s="9">
        <v>3.9182751617384226</v>
      </c>
      <c r="P4" s="9">
        <v>3.8379788385475693</v>
      </c>
    </row>
    <row r="5" spans="1:16">
      <c r="A5" s="26">
        <v>4</v>
      </c>
      <c r="B5" s="9">
        <v>3.83811948173078</v>
      </c>
      <c r="C5" s="9">
        <v>3.9591699295575067</v>
      </c>
      <c r="D5" s="9">
        <v>3.8189061359342809</v>
      </c>
      <c r="E5" s="9">
        <v>3.7042917566491314</v>
      </c>
      <c r="F5" s="9">
        <v>3.9079374357225798</v>
      </c>
      <c r="G5" s="9">
        <v>3.9880503222993884</v>
      </c>
      <c r="H5" s="9">
        <v>4.1792830849211429</v>
      </c>
      <c r="I5" s="9">
        <v>4.4048080325270558</v>
      </c>
      <c r="J5" s="29">
        <v>4.054829999053525</v>
      </c>
      <c r="K5" s="9">
        <v>4.0690403901159362</v>
      </c>
      <c r="L5" s="9">
        <v>4.0347316123472812</v>
      </c>
      <c r="M5" s="9">
        <v>3.9897218551316307</v>
      </c>
      <c r="N5" s="9">
        <v>3.8836108018017694</v>
      </c>
      <c r="O5" s="9">
        <v>4.3866140798711442</v>
      </c>
      <c r="P5" s="9">
        <v>4.6938843907881775</v>
      </c>
    </row>
    <row r="6" spans="1:16">
      <c r="A6" s="26">
        <v>5</v>
      </c>
      <c r="B6" s="9">
        <v>3.9809743463800702</v>
      </c>
      <c r="C6" s="9">
        <v>4.0155710566335214</v>
      </c>
      <c r="D6" s="9">
        <v>4.4347813963550697</v>
      </c>
      <c r="E6" s="9">
        <v>4.3808701321016086</v>
      </c>
      <c r="F6" s="9">
        <v>4.3336041250699635</v>
      </c>
      <c r="G6" s="9">
        <v>4.1739808024008296</v>
      </c>
      <c r="H6" s="9">
        <v>4.3697319508063366</v>
      </c>
      <c r="I6" s="9">
        <v>4.548945873663178</v>
      </c>
      <c r="J6" s="29">
        <v>4.9931964904523385</v>
      </c>
      <c r="K6" s="9">
        <v>5.2298401416975242</v>
      </c>
      <c r="L6" s="9">
        <v>5.3450062274787191</v>
      </c>
      <c r="M6" s="9">
        <v>5.2739917119440678</v>
      </c>
      <c r="N6" s="9">
        <v>5.1470750755706041</v>
      </c>
      <c r="O6" s="9">
        <v>5.0604215505169305</v>
      </c>
      <c r="P6" s="9">
        <v>5.0333786653357633</v>
      </c>
    </row>
    <row r="7" spans="1:16">
      <c r="A7" s="26">
        <v>6</v>
      </c>
      <c r="B7" s="9">
        <v>3.774003159099097</v>
      </c>
      <c r="C7" s="9">
        <v>3.8192533264634374</v>
      </c>
      <c r="D7" s="9">
        <v>4.0446792357146721</v>
      </c>
      <c r="E7" s="9">
        <v>4.0894837680751799</v>
      </c>
      <c r="F7" s="9">
        <v>3.8136265305703896</v>
      </c>
      <c r="G7" s="9">
        <v>3.8028946310914091</v>
      </c>
      <c r="H7" s="9">
        <v>3.6768218867235811</v>
      </c>
      <c r="I7" s="9">
        <v>3.6438425029573192</v>
      </c>
      <c r="J7" s="29">
        <v>3.840475768416804</v>
      </c>
      <c r="K7" s="9">
        <v>4.0985499272283166</v>
      </c>
      <c r="L7" s="9">
        <v>3.8834563185566493</v>
      </c>
      <c r="M7" s="9">
        <v>3.8250611177413796</v>
      </c>
      <c r="N7" s="9">
        <v>3.6612116476134879</v>
      </c>
      <c r="O7" s="9">
        <v>3.6059336470879848</v>
      </c>
      <c r="P7" s="9">
        <v>3.7364985597232496</v>
      </c>
    </row>
    <row r="8" spans="1:16">
      <c r="A8" s="26">
        <v>7</v>
      </c>
      <c r="B8" s="9">
        <v>3.7604624595098919</v>
      </c>
      <c r="C8" s="9">
        <v>3.6442988976947444</v>
      </c>
      <c r="D8" s="9">
        <v>3.6969039685781708</v>
      </c>
      <c r="E8" s="9">
        <v>3.651741124963892</v>
      </c>
      <c r="F8" s="9">
        <v>3.6718690411067425</v>
      </c>
      <c r="G8" s="9">
        <v>3.5213857377405562</v>
      </c>
      <c r="H8" s="9">
        <v>3.3383568938996682</v>
      </c>
      <c r="I8" s="9">
        <v>3.387643213544631</v>
      </c>
      <c r="J8" s="29">
        <v>3.316544007724596</v>
      </c>
      <c r="K8" s="9">
        <v>3.3801048987284359</v>
      </c>
      <c r="L8" s="9">
        <v>3.2824327994478635</v>
      </c>
      <c r="M8" s="9">
        <v>3.4083576590040243</v>
      </c>
      <c r="N8" s="9">
        <v>3.612720947359596</v>
      </c>
      <c r="O8" s="9">
        <v>3.6381981195753048</v>
      </c>
      <c r="P8" s="9">
        <v>3.6270879842144699</v>
      </c>
    </row>
    <row r="9" spans="1:16">
      <c r="A9" s="26">
        <v>8</v>
      </c>
      <c r="B9" s="9">
        <v>3.9571656080443285</v>
      </c>
      <c r="C9" s="9">
        <v>3.9615700866574368</v>
      </c>
      <c r="D9" s="9">
        <v>4.0947421839150193</v>
      </c>
      <c r="E9" s="9">
        <v>3.9603616677861258</v>
      </c>
      <c r="F9" s="9">
        <v>3.6955667925976678</v>
      </c>
      <c r="G9" s="9">
        <v>4.0523052853554855</v>
      </c>
      <c r="H9" s="9">
        <v>4.1317604292806411</v>
      </c>
      <c r="I9" s="9">
        <v>4.0889750294863578</v>
      </c>
      <c r="J9" s="29">
        <v>3.9554738908467075</v>
      </c>
      <c r="K9" s="9">
        <v>4.31488008819667</v>
      </c>
      <c r="L9" s="9">
        <v>4.4864841002079707</v>
      </c>
      <c r="M9" s="9">
        <v>4.6543271126939176</v>
      </c>
      <c r="N9" s="9">
        <v>5.2353490587704998</v>
      </c>
      <c r="O9" s="9">
        <v>5.3987763042214532</v>
      </c>
      <c r="P9" s="9">
        <v>5.5968703609712174</v>
      </c>
    </row>
    <row r="10" spans="1:16">
      <c r="A10" s="26">
        <v>9</v>
      </c>
      <c r="B10" s="9">
        <v>3.6732691742616894</v>
      </c>
      <c r="C10" s="9">
        <v>3.8058908207084796</v>
      </c>
      <c r="D10" s="9">
        <v>3.6417684084235917</v>
      </c>
      <c r="E10" s="9">
        <v>3.6932257420796408</v>
      </c>
      <c r="F10" s="9">
        <v>3.6568075235245123</v>
      </c>
      <c r="G10" s="9">
        <v>3.5742310231158769</v>
      </c>
      <c r="H10" s="9">
        <v>3.3611485139871511</v>
      </c>
      <c r="I10" s="9">
        <v>3.3858952118346748</v>
      </c>
      <c r="J10" s="29">
        <v>3.3798642528716107</v>
      </c>
      <c r="K10" s="9">
        <v>3.2363233147841126</v>
      </c>
      <c r="L10" s="9">
        <v>3.0307050174975831</v>
      </c>
      <c r="M10" s="9">
        <v>3.09020835750048</v>
      </c>
      <c r="N10" s="9">
        <v>3.0742294952015774</v>
      </c>
      <c r="O10" s="9">
        <v>3.1102606573149854</v>
      </c>
      <c r="P10" s="9">
        <v>3.074971373851509</v>
      </c>
    </row>
    <row r="11" spans="1:16">
      <c r="A11" s="26">
        <v>10</v>
      </c>
      <c r="B11" s="9">
        <v>3.8997851050787431</v>
      </c>
      <c r="C11" s="9">
        <v>4.044081859743458</v>
      </c>
      <c r="D11" s="9">
        <v>3.9433400446383073</v>
      </c>
      <c r="E11" s="9">
        <v>4.0236398160302942</v>
      </c>
      <c r="F11" s="9">
        <v>4.0202609721729212</v>
      </c>
      <c r="G11" s="9">
        <v>3.757783089961678</v>
      </c>
      <c r="H11" s="9">
        <v>3.8309393792010655</v>
      </c>
      <c r="I11" s="9">
        <v>3.8381779344105023</v>
      </c>
      <c r="J11" s="29">
        <v>3.9435882384168153</v>
      </c>
      <c r="K11" s="9">
        <v>4.1957373788984773</v>
      </c>
      <c r="L11" s="9">
        <v>4.1562727561360946</v>
      </c>
      <c r="M11" s="9">
        <v>4.129076233119167</v>
      </c>
      <c r="N11" s="9">
        <v>4.2949196766335698</v>
      </c>
      <c r="O11" s="9">
        <v>4.4085491151052816</v>
      </c>
      <c r="P11" s="9">
        <v>4.5795006893805672</v>
      </c>
    </row>
    <row r="12" spans="1:16">
      <c r="A12" s="26">
        <v>11</v>
      </c>
      <c r="B12" s="9">
        <v>4.1643962647259229</v>
      </c>
      <c r="C12" s="9">
        <v>4.1352898312796631</v>
      </c>
      <c r="D12" s="9">
        <v>3.8046883620353991</v>
      </c>
      <c r="E12" s="9">
        <v>3.6364594396399292</v>
      </c>
      <c r="F12" s="9">
        <v>3.5655924546408868</v>
      </c>
      <c r="G12" s="9">
        <v>3.7278919676084517</v>
      </c>
      <c r="H12" s="9">
        <v>3.7292442588689694</v>
      </c>
      <c r="I12" s="9">
        <v>3.7854526065092675</v>
      </c>
      <c r="J12" s="29">
        <v>3.703238892928463</v>
      </c>
      <c r="K12" s="9">
        <v>4.0032536092281044</v>
      </c>
      <c r="L12" s="9">
        <v>3.6985347037321925</v>
      </c>
      <c r="M12" s="9">
        <v>3.4996328395110057</v>
      </c>
      <c r="N12" s="9">
        <v>3.1822312473715231</v>
      </c>
      <c r="O12" s="9">
        <v>3.2111965700648937</v>
      </c>
      <c r="P12" s="9">
        <v>2.9628853679355864</v>
      </c>
    </row>
    <row r="13" spans="1:16">
      <c r="A13" s="26">
        <v>12</v>
      </c>
      <c r="B13" s="9">
        <v>3.8047884449410225</v>
      </c>
      <c r="C13" s="9">
        <v>4.0598211657993994</v>
      </c>
      <c r="D13" s="9">
        <v>4.2617453022555978</v>
      </c>
      <c r="E13" s="9">
        <v>3.9869254798753162</v>
      </c>
      <c r="F13" s="9">
        <v>4.3652626375678318</v>
      </c>
      <c r="G13" s="9">
        <v>4.5000112819707105</v>
      </c>
      <c r="H13" s="9">
        <v>4.8644243135173371</v>
      </c>
      <c r="I13" s="9">
        <v>5.0612542646899241</v>
      </c>
      <c r="J13" s="29">
        <v>5.5306313522739901</v>
      </c>
      <c r="K13" s="9">
        <v>5.4807818127525225</v>
      </c>
      <c r="L13" s="9">
        <v>5.64349388367802</v>
      </c>
      <c r="M13" s="9">
        <v>5.5796179016620666</v>
      </c>
      <c r="N13" s="9">
        <v>5.8026236441651742</v>
      </c>
      <c r="O13" s="9">
        <v>6.0162151583930523</v>
      </c>
      <c r="P13" s="9">
        <v>5.8579207781869851</v>
      </c>
    </row>
    <row r="14" spans="1:16">
      <c r="A14" s="26">
        <v>13</v>
      </c>
      <c r="B14" s="9">
        <v>4.064568281434835</v>
      </c>
      <c r="C14" s="9">
        <v>4.2111062425152586</v>
      </c>
      <c r="D14" s="9">
        <v>4.3875287912093004</v>
      </c>
      <c r="E14" s="9">
        <v>4.4791822389988498</v>
      </c>
      <c r="F14" s="9">
        <v>4.0600661258870305</v>
      </c>
      <c r="G14" s="9">
        <v>3.9556301397178224</v>
      </c>
      <c r="H14" s="9">
        <v>3.8186195884363583</v>
      </c>
      <c r="I14" s="9">
        <v>3.7581711096848043</v>
      </c>
      <c r="J14" s="29">
        <v>3.6221101900973336</v>
      </c>
      <c r="K14" s="9">
        <v>3.9858137003662875</v>
      </c>
      <c r="L14" s="9">
        <v>3.9980882144986469</v>
      </c>
      <c r="M14" s="9">
        <v>3.8684810370348663</v>
      </c>
      <c r="N14" s="9">
        <v>4.0035890843901329</v>
      </c>
      <c r="O14" s="9">
        <v>3.9855552245617933</v>
      </c>
      <c r="P14" s="9">
        <v>3.8678123804875684</v>
      </c>
    </row>
    <row r="15" spans="1:16">
      <c r="A15" s="26">
        <v>14</v>
      </c>
      <c r="B15" s="9">
        <v>3.8634002003855663</v>
      </c>
      <c r="C15" s="9">
        <v>3.647317117154742</v>
      </c>
      <c r="D15" s="9">
        <v>3.8048294522393067</v>
      </c>
      <c r="E15" s="9">
        <v>4.0019525001873832</v>
      </c>
      <c r="F15" s="9">
        <v>4.0935644211709166</v>
      </c>
      <c r="G15" s="9">
        <v>4.2697565881234834</v>
      </c>
      <c r="H15" s="9">
        <v>4.1864244782988784</v>
      </c>
      <c r="I15" s="9">
        <v>4.0849415198978649</v>
      </c>
      <c r="J15" s="29">
        <v>4.1809728799512511</v>
      </c>
      <c r="K15" s="9">
        <v>4.1535162144476372</v>
      </c>
      <c r="L15" s="9">
        <v>4.2873970171371338</v>
      </c>
      <c r="M15" s="9">
        <v>4.4051281105703453</v>
      </c>
      <c r="N15" s="9">
        <v>4.1333478383588949</v>
      </c>
      <c r="O15" s="9">
        <v>4.1115536350410009</v>
      </c>
      <c r="P15" s="9">
        <v>4.062458058431754</v>
      </c>
    </row>
    <row r="16" spans="1:16">
      <c r="A16" s="26">
        <v>15</v>
      </c>
      <c r="B16" s="9">
        <v>3.8197241698843856</v>
      </c>
      <c r="C16" s="9">
        <v>3.8996986215474352</v>
      </c>
      <c r="D16" s="9">
        <v>3.841002778515366</v>
      </c>
      <c r="E16" s="9">
        <v>3.9244945712744452</v>
      </c>
      <c r="F16" s="9">
        <v>3.9966409067074147</v>
      </c>
      <c r="G16" s="9">
        <v>4.2307438563410535</v>
      </c>
      <c r="H16" s="9">
        <v>4.3047651680191716</v>
      </c>
      <c r="I16" s="9">
        <v>4.5526231058128674</v>
      </c>
      <c r="J16" s="29">
        <v>4.2392849940327881</v>
      </c>
      <c r="K16" s="9">
        <v>4.3567774835966659</v>
      </c>
      <c r="L16" s="9">
        <v>4.3511330342052172</v>
      </c>
      <c r="M16" s="9">
        <v>4.3254946183434502</v>
      </c>
      <c r="N16" s="9">
        <v>4.3817427782750045</v>
      </c>
      <c r="O16" s="9">
        <v>4.4654943851151243</v>
      </c>
      <c r="P16" s="9">
        <v>4.8459322043292774</v>
      </c>
    </row>
    <row r="17" spans="1:16">
      <c r="A17" s="26">
        <v>16</v>
      </c>
      <c r="B17" s="9">
        <v>4.1809784294520753</v>
      </c>
      <c r="C17" s="9">
        <v>4.3117943171585473</v>
      </c>
      <c r="D17" s="9">
        <v>4.3080240466030277</v>
      </c>
      <c r="E17" s="9">
        <v>4.2911439573886012</v>
      </c>
      <c r="F17" s="9">
        <v>4.3285472033819739</v>
      </c>
      <c r="G17" s="9">
        <v>4.80102803740645</v>
      </c>
      <c r="H17" s="9">
        <v>4.6740197106206045</v>
      </c>
      <c r="I17" s="9">
        <v>4.5583704061321546</v>
      </c>
      <c r="J17" s="29">
        <v>4.8310005632387947</v>
      </c>
      <c r="K17" s="9">
        <v>4.8961304523247957</v>
      </c>
      <c r="L17" s="9">
        <v>4.8659268306225929</v>
      </c>
      <c r="M17" s="9">
        <v>4.7054101954209768</v>
      </c>
      <c r="N17" s="9">
        <v>4.3284742870515052</v>
      </c>
      <c r="O17" s="9">
        <v>4.58903283121332</v>
      </c>
      <c r="P17" s="9">
        <v>4.685348577765013</v>
      </c>
    </row>
    <row r="18" spans="1:16">
      <c r="A18" s="26">
        <v>17</v>
      </c>
      <c r="B18" s="9">
        <v>3.980272878063178</v>
      </c>
      <c r="C18" s="9">
        <v>3.6207970623912589</v>
      </c>
      <c r="D18" s="9">
        <v>3.6616814443002839</v>
      </c>
      <c r="E18" s="9">
        <v>3.5313361740444713</v>
      </c>
      <c r="F18" s="9">
        <v>3.2516565953048815</v>
      </c>
      <c r="G18" s="9">
        <v>3.176588586716445</v>
      </c>
      <c r="H18" s="9">
        <v>3.1208159187855906</v>
      </c>
      <c r="I18" s="9">
        <v>2.9942049392234535</v>
      </c>
      <c r="J18" s="29">
        <v>2.7939491773749769</v>
      </c>
      <c r="K18" s="9">
        <v>2.7685705813191657</v>
      </c>
      <c r="L18" s="9">
        <v>2.8894212171163463</v>
      </c>
      <c r="M18" s="9">
        <v>2.9418149068719801</v>
      </c>
      <c r="N18" s="9">
        <v>2.9427372953517432</v>
      </c>
      <c r="O18" s="9">
        <v>2.8258601782820914</v>
      </c>
      <c r="P18" s="9">
        <v>2.9959475873814001</v>
      </c>
    </row>
    <row r="19" spans="1:16">
      <c r="A19" s="26">
        <v>18</v>
      </c>
      <c r="B19" s="9">
        <v>3.9782761290620678</v>
      </c>
      <c r="C19" s="9">
        <v>3.9655897679742331</v>
      </c>
      <c r="D19" s="9">
        <v>4.1451033429235107</v>
      </c>
      <c r="E19" s="9">
        <v>4.162963505448003</v>
      </c>
      <c r="F19" s="9">
        <v>4.2954721016284321</v>
      </c>
      <c r="G19" s="9">
        <v>4.2977363982172223</v>
      </c>
      <c r="H19" s="9">
        <v>4.0629238881078882</v>
      </c>
      <c r="I19" s="9">
        <v>3.8993756243848638</v>
      </c>
      <c r="J19" s="29">
        <v>3.9119336829690434</v>
      </c>
      <c r="K19" s="9">
        <v>3.9272837271026857</v>
      </c>
      <c r="L19" s="9">
        <v>4.0873507081445224</v>
      </c>
      <c r="M19" s="9">
        <v>4.4158390289698755</v>
      </c>
      <c r="N19" s="9">
        <v>4.5304346975939209</v>
      </c>
      <c r="O19" s="9">
        <v>4.2515019641055245</v>
      </c>
      <c r="P19" s="9">
        <v>4.1193732153601337</v>
      </c>
    </row>
    <row r="20" spans="1:16">
      <c r="A20" s="26">
        <v>19</v>
      </c>
      <c r="B20" s="9">
        <v>3.8863337568219904</v>
      </c>
      <c r="C20" s="9">
        <v>3.86057887197925</v>
      </c>
      <c r="D20" s="9">
        <v>3.9082328633729602</v>
      </c>
      <c r="E20" s="9">
        <v>4.2933149142928348</v>
      </c>
      <c r="F20" s="9">
        <v>4.2185556786856226</v>
      </c>
      <c r="G20" s="9">
        <v>4.5137633252268756</v>
      </c>
      <c r="H20" s="9">
        <v>4.0007140302878561</v>
      </c>
      <c r="I20" s="9">
        <v>3.8917833970576114</v>
      </c>
      <c r="J20" s="29">
        <v>3.8979888222034895</v>
      </c>
      <c r="K20" s="9">
        <v>4.0375200669233875</v>
      </c>
      <c r="L20" s="9">
        <v>4.0933747553216282</v>
      </c>
      <c r="M20" s="9">
        <v>4.1001762155555017</v>
      </c>
      <c r="N20" s="9">
        <v>4.2143641184385849</v>
      </c>
      <c r="O20" s="9">
        <v>4.1009512017027712</v>
      </c>
      <c r="P20" s="9">
        <v>3.9593859211699507</v>
      </c>
    </row>
    <row r="21" spans="1:16">
      <c r="A21" s="26">
        <v>20</v>
      </c>
      <c r="B21" s="9">
        <v>3.6914960778420163</v>
      </c>
      <c r="C21" s="9">
        <v>3.6084153468548417</v>
      </c>
      <c r="D21" s="9">
        <v>3.4895831232699535</v>
      </c>
      <c r="E21" s="9">
        <v>3.6279111113090661</v>
      </c>
      <c r="F21" s="9">
        <v>4.0134027895620301</v>
      </c>
      <c r="G21" s="9">
        <v>4.3075475018074316</v>
      </c>
      <c r="H21" s="9">
        <v>4.6855831813251898</v>
      </c>
      <c r="I21" s="9">
        <v>4.5102664584421248</v>
      </c>
      <c r="J21" s="29">
        <v>4.2817688186799909</v>
      </c>
      <c r="K21" s="9">
        <v>4.3920851953131299</v>
      </c>
      <c r="L21" s="9">
        <v>4.3467655387280768</v>
      </c>
      <c r="M21" s="9">
        <v>4.5106595621816785</v>
      </c>
      <c r="N21" s="9">
        <v>4.2998759576487027</v>
      </c>
      <c r="O21" s="9">
        <v>4.3105493281359202</v>
      </c>
      <c r="P21" s="9">
        <v>4.4471624747361203</v>
      </c>
    </row>
    <row r="22" spans="1:16">
      <c r="A22" s="26">
        <v>21</v>
      </c>
      <c r="B22" s="9">
        <v>3.9467751221735621</v>
      </c>
      <c r="C22" s="9">
        <v>4.3862699135158687</v>
      </c>
      <c r="D22" s="9">
        <v>4.2445854711190858</v>
      </c>
      <c r="E22" s="9">
        <v>4.2056145704507344</v>
      </c>
      <c r="F22" s="9">
        <v>4.1198191139217331</v>
      </c>
      <c r="G22" s="9">
        <v>4.1397699124180614</v>
      </c>
      <c r="H22" s="9">
        <v>4.2815533786589288</v>
      </c>
      <c r="I22" s="9">
        <v>4.3142288723638327</v>
      </c>
      <c r="J22" s="29">
        <v>4.0844369038340123</v>
      </c>
      <c r="K22" s="9">
        <v>4.1152001855841682</v>
      </c>
      <c r="L22" s="9">
        <v>3.8862093825189765</v>
      </c>
      <c r="M22" s="9">
        <v>4.2316975722250731</v>
      </c>
      <c r="N22" s="9">
        <v>3.9418961720690739</v>
      </c>
      <c r="O22" s="9">
        <v>3.7991721572045978</v>
      </c>
      <c r="P22" s="9">
        <v>3.8027385339877702</v>
      </c>
    </row>
    <row r="23" spans="1:16">
      <c r="A23" s="26">
        <v>22</v>
      </c>
      <c r="B23" s="9">
        <v>4.0120644283033355</v>
      </c>
      <c r="C23" s="9">
        <v>4.1931628676766621</v>
      </c>
      <c r="D23" s="9">
        <v>4.1466014047428779</v>
      </c>
      <c r="E23" s="9">
        <v>4.1592235412673801</v>
      </c>
      <c r="F23" s="9">
        <v>4.1130961125750325</v>
      </c>
      <c r="G23" s="9">
        <v>4.3682068301495702</v>
      </c>
      <c r="H23" s="9">
        <v>4.352529873323693</v>
      </c>
      <c r="I23" s="9">
        <v>4.7464856173404648</v>
      </c>
      <c r="J23" s="29">
        <v>4.6936850030814741</v>
      </c>
      <c r="K23" s="9">
        <v>4.1687049569571659</v>
      </c>
      <c r="L23" s="9">
        <v>4.2203303410521817</v>
      </c>
      <c r="M23" s="9">
        <v>4.0225429768573742</v>
      </c>
      <c r="N23" s="9">
        <v>4.0393847466191355</v>
      </c>
      <c r="O23" s="9">
        <v>4.2023413931150877</v>
      </c>
      <c r="P23" s="9">
        <v>4.0617282229002427</v>
      </c>
    </row>
    <row r="24" spans="1:16">
      <c r="A24" s="26">
        <v>23</v>
      </c>
      <c r="B24" s="9">
        <v>4.1738570052494195</v>
      </c>
      <c r="C24" s="9">
        <v>4.2947062903014315</v>
      </c>
      <c r="D24" s="9">
        <v>4.3525947004788099</v>
      </c>
      <c r="E24" s="9">
        <v>4.3975784734179975</v>
      </c>
      <c r="F24" s="9">
        <v>4.3253047952337802</v>
      </c>
      <c r="G24" s="9">
        <v>4.3830779911871129</v>
      </c>
      <c r="H24" s="9">
        <v>4.3836553755844117</v>
      </c>
      <c r="I24" s="9">
        <v>4.3505169867258475</v>
      </c>
      <c r="J24" s="29">
        <v>4.0585750786249486</v>
      </c>
      <c r="K24" s="9">
        <v>4.151034567153566</v>
      </c>
      <c r="L24" s="9">
        <v>4.1408819190367145</v>
      </c>
      <c r="M24" s="9">
        <v>4.1562554626610009</v>
      </c>
      <c r="N24" s="9">
        <v>4.2835061019322414</v>
      </c>
      <c r="O24" s="9">
        <v>4.0411716835174509</v>
      </c>
      <c r="P24" s="9">
        <v>3.9243368961449048</v>
      </c>
    </row>
    <row r="25" spans="1:16">
      <c r="A25" s="26">
        <v>24</v>
      </c>
      <c r="B25" s="9">
        <v>4.0991784205389212</v>
      </c>
      <c r="C25" s="9">
        <v>4.079581748292509</v>
      </c>
      <c r="D25" s="9">
        <v>4.024016510747872</v>
      </c>
      <c r="E25" s="9">
        <v>4.128608357867205</v>
      </c>
      <c r="F25" s="9">
        <v>4.0773662869397089</v>
      </c>
      <c r="G25" s="9">
        <v>4.0600805067331311</v>
      </c>
      <c r="H25" s="9">
        <v>4.0610179864203806</v>
      </c>
      <c r="I25" s="9">
        <v>3.9816647536453331</v>
      </c>
      <c r="J25" s="29">
        <v>4.344851615325501</v>
      </c>
      <c r="K25" s="9">
        <v>4.6188276066519967</v>
      </c>
      <c r="L25" s="9">
        <v>4.5669277370096744</v>
      </c>
      <c r="M25" s="9">
        <v>4.4392972667861015</v>
      </c>
      <c r="N25" s="9">
        <v>4.6974362319564005</v>
      </c>
      <c r="O25" s="9">
        <v>4.6287454090630851</v>
      </c>
      <c r="P25" s="9">
        <v>4.9173043546156787</v>
      </c>
    </row>
    <row r="26" spans="1:16">
      <c r="A26" s="26">
        <v>25</v>
      </c>
      <c r="B26" s="9">
        <v>3.5724826599008193</v>
      </c>
      <c r="C26" s="9">
        <v>3.695206362753773</v>
      </c>
      <c r="D26" s="9">
        <v>3.7252445159356866</v>
      </c>
      <c r="E26" s="9">
        <v>3.4488991746309083</v>
      </c>
      <c r="F26" s="9">
        <v>3.3520805140856469</v>
      </c>
      <c r="G26" s="9">
        <v>3.5134266057580237</v>
      </c>
      <c r="H26" s="9">
        <v>3.7082958722461079</v>
      </c>
      <c r="I26" s="9">
        <v>3.8037972239913178</v>
      </c>
      <c r="J26" s="29">
        <v>4.2736273588088274</v>
      </c>
      <c r="K26" s="9">
        <v>4.2086515507002726</v>
      </c>
      <c r="L26" s="9">
        <v>4.297518489241952</v>
      </c>
      <c r="M26" s="9">
        <v>4.1341306913502267</v>
      </c>
      <c r="N26" s="9">
        <v>4.2400295573173334</v>
      </c>
      <c r="O26" s="9">
        <v>4.3722823360273084</v>
      </c>
      <c r="P26" s="9">
        <v>4.3272691632650959</v>
      </c>
    </row>
    <row r="27" spans="1:16">
      <c r="A27" s="26">
        <v>26</v>
      </c>
      <c r="B27" s="9">
        <v>3.9386292629704247</v>
      </c>
      <c r="C27" s="9">
        <v>3.8509832534551958</v>
      </c>
      <c r="D27" s="9">
        <v>3.8361454467421989</v>
      </c>
      <c r="E27" s="9">
        <v>3.9228749205029181</v>
      </c>
      <c r="F27" s="9">
        <v>3.9848610822923556</v>
      </c>
      <c r="G27" s="9">
        <v>4.1172901499151582</v>
      </c>
      <c r="H27" s="9">
        <v>4.0944761178688198</v>
      </c>
      <c r="I27" s="9">
        <v>3.9769473702018456</v>
      </c>
      <c r="J27" s="29">
        <v>4.0309088866382101</v>
      </c>
      <c r="K27" s="9">
        <v>4.030188884953148</v>
      </c>
      <c r="L27" s="9">
        <v>4.099412079152275</v>
      </c>
      <c r="M27" s="9">
        <v>4.2669466477450806</v>
      </c>
      <c r="N27" s="9">
        <v>4.2123811116196448</v>
      </c>
      <c r="O27" s="9">
        <v>4.0294429283930322</v>
      </c>
      <c r="P27" s="9">
        <v>4.0455396064081759</v>
      </c>
    </row>
    <row r="28" spans="1:16">
      <c r="A28" s="26">
        <v>27</v>
      </c>
      <c r="B28" s="9">
        <v>4.1768894424874912</v>
      </c>
      <c r="C28" s="9">
        <v>4.1263790618547613</v>
      </c>
      <c r="D28" s="9">
        <v>4.181749147550569</v>
      </c>
      <c r="E28" s="9">
        <v>4.4577705672766781</v>
      </c>
      <c r="F28" s="9">
        <v>4.5906110253475854</v>
      </c>
      <c r="G28" s="9">
        <v>4.8886150162688908</v>
      </c>
      <c r="H28" s="9">
        <v>5.0373523211850912</v>
      </c>
      <c r="I28" s="9">
        <v>5.1809921258258429</v>
      </c>
      <c r="J28" s="29">
        <v>4.6228964346879318</v>
      </c>
      <c r="K28" s="9">
        <v>4.9356484878388693</v>
      </c>
      <c r="L28" s="9">
        <v>4.9774468880637714</v>
      </c>
      <c r="M28" s="9">
        <v>5.3244201368331652</v>
      </c>
      <c r="N28" s="9">
        <v>5.1742190361995135</v>
      </c>
      <c r="O28" s="9">
        <v>5.1127850105939165</v>
      </c>
      <c r="P28" s="9">
        <v>5.1863284228813162</v>
      </c>
    </row>
    <row r="29" spans="1:16">
      <c r="A29" s="26">
        <v>28</v>
      </c>
      <c r="B29" s="9">
        <v>3.8871593862203295</v>
      </c>
      <c r="C29" s="9">
        <v>3.875817124089374</v>
      </c>
      <c r="D29" s="9">
        <v>3.6095338049164596</v>
      </c>
      <c r="E29" s="9">
        <v>3.5586724256704381</v>
      </c>
      <c r="F29" s="9">
        <v>3.475129872095974</v>
      </c>
      <c r="G29" s="9">
        <v>3.3309136480005437</v>
      </c>
      <c r="H29" s="9">
        <v>3.2985481151888947</v>
      </c>
      <c r="I29" s="9">
        <v>3.2471353329552248</v>
      </c>
      <c r="J29" s="29">
        <v>3.3086630090153473</v>
      </c>
      <c r="K29" s="9">
        <v>3.333843524660256</v>
      </c>
      <c r="L29" s="9">
        <v>3.4290923303639844</v>
      </c>
      <c r="M29" s="9">
        <v>3.248739649489008</v>
      </c>
      <c r="N29" s="9">
        <v>3.1647402478445361</v>
      </c>
      <c r="O29" s="9">
        <v>3.2277349655662224</v>
      </c>
      <c r="P29" s="9">
        <v>3.2040341025970323</v>
      </c>
    </row>
    <row r="30" spans="1:16">
      <c r="A30" s="26">
        <v>29</v>
      </c>
      <c r="B30" s="9">
        <v>4.0034259415382385</v>
      </c>
      <c r="C30" s="9">
        <v>4.3311186710417653</v>
      </c>
      <c r="D30" s="9">
        <v>4.3761809720169502</v>
      </c>
      <c r="E30" s="9">
        <v>4.1622353453415748</v>
      </c>
      <c r="F30" s="9">
        <v>4.21924799368501</v>
      </c>
      <c r="G30" s="9">
        <v>4.3896241220093808</v>
      </c>
      <c r="H30" s="9">
        <v>4.3525284306104828</v>
      </c>
      <c r="I30" s="9">
        <v>4.0508875926905192</v>
      </c>
      <c r="J30" s="29">
        <v>4.1979668926835663</v>
      </c>
      <c r="K30" s="9">
        <v>4.201152490509708</v>
      </c>
      <c r="L30" s="9">
        <v>3.9364110128510519</v>
      </c>
      <c r="M30" s="9">
        <v>3.9268288098288755</v>
      </c>
      <c r="N30" s="9">
        <v>4.1723470263470261</v>
      </c>
      <c r="O30" s="9">
        <v>4.3392673140905043</v>
      </c>
      <c r="P30" s="9">
        <v>4.3092319792976674</v>
      </c>
    </row>
    <row r="31" spans="1:16">
      <c r="A31" s="26">
        <v>30</v>
      </c>
      <c r="B31" s="9">
        <v>3.9199691760546682</v>
      </c>
      <c r="C31" s="9">
        <v>3.7320522780172483</v>
      </c>
      <c r="D31" s="9">
        <v>3.6108530670973567</v>
      </c>
      <c r="E31" s="9">
        <v>3.5969613104352836</v>
      </c>
      <c r="F31" s="9">
        <v>3.6468783963507478</v>
      </c>
      <c r="G31" s="9">
        <v>3.7381617399355678</v>
      </c>
      <c r="H31" s="9">
        <v>3.6340203608767556</v>
      </c>
      <c r="I31" s="9">
        <v>3.9313017534869017</v>
      </c>
      <c r="J31" s="29">
        <v>3.899104708287783</v>
      </c>
      <c r="K31" s="9">
        <v>3.7612255483985892</v>
      </c>
      <c r="L31" s="9">
        <v>3.69472358428825</v>
      </c>
      <c r="M31" s="9">
        <v>3.7811622740037611</v>
      </c>
      <c r="N31" s="9">
        <v>3.9975365652894688</v>
      </c>
      <c r="O31" s="9">
        <v>3.9821896150275675</v>
      </c>
      <c r="P31" s="9">
        <v>4.4079065568999267</v>
      </c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10.766868721202474</v>
      </c>
      <c r="C2" s="9">
        <v>10.934588291142919</v>
      </c>
      <c r="D2" s="9">
        <v>11.537584892366407</v>
      </c>
      <c r="E2" s="9">
        <v>11.835476794765858</v>
      </c>
      <c r="F2" s="9">
        <v>12.683626291305924</v>
      </c>
      <c r="G2" s="9">
        <v>13.232750326175742</v>
      </c>
      <c r="H2" s="9">
        <v>13.03574082434346</v>
      </c>
      <c r="I2" s="9">
        <v>12.892134311695001</v>
      </c>
      <c r="J2" s="29">
        <v>13.020439231516937</v>
      </c>
      <c r="K2" s="9">
        <v>13.147070279917017</v>
      </c>
      <c r="L2" s="9">
        <v>13.377310721836528</v>
      </c>
      <c r="M2" s="9">
        <v>13.464801873042981</v>
      </c>
      <c r="N2" s="9">
        <v>13.505345064000286</v>
      </c>
      <c r="O2" s="9">
        <v>13.466144527583321</v>
      </c>
      <c r="P2" s="9">
        <v>13.673428379322154</v>
      </c>
    </row>
    <row r="3" spans="1:16">
      <c r="A3" s="26">
        <v>2</v>
      </c>
      <c r="B3" s="9">
        <v>10.729711619478202</v>
      </c>
      <c r="C3" s="9">
        <v>10.672759722394202</v>
      </c>
      <c r="D3" s="9">
        <v>11.174927978371443</v>
      </c>
      <c r="E3" s="9">
        <v>11.123957217466559</v>
      </c>
      <c r="F3" s="9">
        <v>11.643364948847672</v>
      </c>
      <c r="G3" s="9">
        <v>12.016709350551281</v>
      </c>
      <c r="H3" s="9">
        <v>11.605801308282366</v>
      </c>
      <c r="I3" s="9">
        <v>11.811691590227761</v>
      </c>
      <c r="J3" s="29">
        <v>11.562422069434845</v>
      </c>
      <c r="K3" s="9">
        <v>11.398913261962345</v>
      </c>
      <c r="L3" s="9">
        <v>11.651508659336578</v>
      </c>
      <c r="M3" s="9">
        <v>12.013062446184943</v>
      </c>
      <c r="N3" s="9">
        <v>12.069231498731957</v>
      </c>
      <c r="O3" s="9">
        <v>11.858770172857625</v>
      </c>
      <c r="P3" s="9">
        <v>12.292146302807641</v>
      </c>
    </row>
    <row r="4" spans="1:16">
      <c r="A4" s="26">
        <v>3</v>
      </c>
      <c r="B4" s="9">
        <v>10.647602383825889</v>
      </c>
      <c r="C4" s="9">
        <v>10.345186497055716</v>
      </c>
      <c r="D4" s="9">
        <v>11.110938222816861</v>
      </c>
      <c r="E4" s="9">
        <v>11.102703269644739</v>
      </c>
      <c r="F4" s="9">
        <v>10.959151133082123</v>
      </c>
      <c r="G4" s="9">
        <v>11.248170375387218</v>
      </c>
      <c r="H4" s="9">
        <v>11.558365636431647</v>
      </c>
      <c r="I4" s="9">
        <v>12.593322368914064</v>
      </c>
      <c r="J4" s="29">
        <v>12.810818720969685</v>
      </c>
      <c r="K4" s="9">
        <v>12.890020557483256</v>
      </c>
      <c r="L4" s="9">
        <v>13.299312783887199</v>
      </c>
      <c r="M4" s="9">
        <v>13.841016247557171</v>
      </c>
      <c r="N4" s="9">
        <v>14.023350679592271</v>
      </c>
      <c r="O4" s="9">
        <v>13.977844614785871</v>
      </c>
      <c r="P4" s="9">
        <v>13.788423903175868</v>
      </c>
    </row>
    <row r="5" spans="1:16">
      <c r="A5" s="26">
        <v>4</v>
      </c>
      <c r="B5" s="9">
        <v>10.68671914844245</v>
      </c>
      <c r="C5" s="9">
        <v>10.485634681383774</v>
      </c>
      <c r="D5" s="9">
        <v>10.829201505352664</v>
      </c>
      <c r="E5" s="9">
        <v>11.085538376865763</v>
      </c>
      <c r="F5" s="9">
        <v>11.413192347429126</v>
      </c>
      <c r="G5" s="9">
        <v>11.712921274560998</v>
      </c>
      <c r="H5" s="9">
        <v>12.074579409847955</v>
      </c>
      <c r="I5" s="9">
        <v>12.038209806614141</v>
      </c>
      <c r="J5" s="29">
        <v>11.841987917460314</v>
      </c>
      <c r="K5" s="9">
        <v>12.118248064354544</v>
      </c>
      <c r="L5" s="9">
        <v>12.30160489228134</v>
      </c>
      <c r="M5" s="9">
        <v>12.480848913921456</v>
      </c>
      <c r="N5" s="9">
        <v>12.631900755292449</v>
      </c>
      <c r="O5" s="9">
        <v>13.124948945815241</v>
      </c>
      <c r="P5" s="9">
        <v>13.671940956616265</v>
      </c>
    </row>
    <row r="6" spans="1:16">
      <c r="A6" s="26">
        <v>5</v>
      </c>
      <c r="B6" s="9">
        <v>10.579140654757689</v>
      </c>
      <c r="C6" s="9">
        <v>10.232983629101479</v>
      </c>
      <c r="D6" s="9">
        <v>10.223491795900239</v>
      </c>
      <c r="E6" s="9">
        <v>10.23333528532036</v>
      </c>
      <c r="F6" s="9">
        <v>10.495936673184817</v>
      </c>
      <c r="G6" s="9">
        <v>10.532799396026123</v>
      </c>
      <c r="H6" s="9">
        <v>10.46488501253978</v>
      </c>
      <c r="I6" s="9">
        <v>10.422631836601761</v>
      </c>
      <c r="J6" s="29">
        <v>10.545330461798798</v>
      </c>
      <c r="K6" s="9">
        <v>10.147308084045493</v>
      </c>
      <c r="L6" s="9">
        <v>9.7904838666734904</v>
      </c>
      <c r="M6" s="9">
        <v>10.020367879665351</v>
      </c>
      <c r="N6" s="9">
        <v>10.282458450302547</v>
      </c>
      <c r="O6" s="9">
        <v>10.276566471131661</v>
      </c>
      <c r="P6" s="9">
        <v>10.538004878444092</v>
      </c>
    </row>
    <row r="7" spans="1:16">
      <c r="A7" s="26">
        <v>6</v>
      </c>
      <c r="B7" s="9">
        <v>10.301666938083878</v>
      </c>
      <c r="C7" s="9">
        <v>10.308866963402661</v>
      </c>
      <c r="D7" s="9">
        <v>10.608525890060331</v>
      </c>
      <c r="E7" s="9">
        <v>10.83475393534853</v>
      </c>
      <c r="F7" s="9">
        <v>10.823472179868975</v>
      </c>
      <c r="G7" s="9">
        <v>11.070583717778042</v>
      </c>
      <c r="H7" s="9">
        <v>11.068526135033933</v>
      </c>
      <c r="I7" s="9">
        <v>11.095410892890907</v>
      </c>
      <c r="J7" s="29">
        <v>11.475753552397791</v>
      </c>
      <c r="K7" s="9">
        <v>11.57960084289004</v>
      </c>
      <c r="L7" s="9">
        <v>11.779399169881188</v>
      </c>
      <c r="M7" s="9">
        <v>12.270316034252982</v>
      </c>
      <c r="N7" s="9">
        <v>12.145957334549776</v>
      </c>
      <c r="O7" s="9">
        <v>11.773249468887261</v>
      </c>
      <c r="P7" s="9">
        <v>11.370442911776957</v>
      </c>
    </row>
    <row r="8" spans="1:16">
      <c r="A8" s="26">
        <v>7</v>
      </c>
      <c r="B8" s="9">
        <v>10.556091131693112</v>
      </c>
      <c r="C8" s="9">
        <v>11.126020238869069</v>
      </c>
      <c r="D8" s="9">
        <v>11.907328467628666</v>
      </c>
      <c r="E8" s="9">
        <v>11.976038785882809</v>
      </c>
      <c r="F8" s="9">
        <v>12.148486495238593</v>
      </c>
      <c r="G8" s="9">
        <v>12.267019860818069</v>
      </c>
      <c r="H8" s="9">
        <v>13.201186430530056</v>
      </c>
      <c r="I8" s="9">
        <v>13.482104696521679</v>
      </c>
      <c r="J8" s="29">
        <v>13.600672314389296</v>
      </c>
      <c r="K8" s="9">
        <v>13.624297948367778</v>
      </c>
      <c r="L8" s="9">
        <v>14.204579730339582</v>
      </c>
      <c r="M8" s="9">
        <v>14.396751411176542</v>
      </c>
      <c r="N8" s="9">
        <v>14.293521129220498</v>
      </c>
      <c r="O8" s="9">
        <v>15.275294343912455</v>
      </c>
      <c r="P8" s="9">
        <v>14.978695599036891</v>
      </c>
    </row>
    <row r="9" spans="1:16">
      <c r="A9" s="26">
        <v>8</v>
      </c>
      <c r="B9" s="9">
        <v>11.36767395297937</v>
      </c>
      <c r="C9" s="9">
        <v>11.460812344018139</v>
      </c>
      <c r="D9" s="9">
        <v>11.320744392224441</v>
      </c>
      <c r="E9" s="9">
        <v>11.094084622940239</v>
      </c>
      <c r="F9" s="9">
        <v>11.148200689863016</v>
      </c>
      <c r="G9" s="9">
        <v>10.914373454128711</v>
      </c>
      <c r="H9" s="9">
        <v>11.128730185929337</v>
      </c>
      <c r="I9" s="9">
        <v>10.990135780321733</v>
      </c>
      <c r="J9" s="29">
        <v>11.612148541811502</v>
      </c>
      <c r="K9" s="9">
        <v>11.686365604673357</v>
      </c>
      <c r="L9" s="9">
        <v>12.349470463929663</v>
      </c>
      <c r="M9" s="9">
        <v>12.75750124079101</v>
      </c>
      <c r="N9" s="9">
        <v>12.780376515946895</v>
      </c>
      <c r="O9" s="9">
        <v>12.812563540214164</v>
      </c>
      <c r="P9" s="9">
        <v>13.105539118905886</v>
      </c>
    </row>
    <row r="10" spans="1:16">
      <c r="A10" s="26">
        <v>9</v>
      </c>
      <c r="B10" s="9">
        <v>10.314467561959649</v>
      </c>
      <c r="C10" s="9">
        <v>10.365262915214739</v>
      </c>
      <c r="D10" s="9">
        <v>10.158743255647673</v>
      </c>
      <c r="E10" s="9">
        <v>10.050815685194801</v>
      </c>
      <c r="F10" s="9">
        <v>10.103157782256849</v>
      </c>
      <c r="G10" s="9">
        <v>10.02218378605253</v>
      </c>
      <c r="H10" s="9">
        <v>10.06890566155564</v>
      </c>
      <c r="I10" s="9">
        <v>10.440059904064835</v>
      </c>
      <c r="J10" s="29">
        <v>10.404125661699741</v>
      </c>
      <c r="K10" s="9">
        <v>10.273713473802847</v>
      </c>
      <c r="L10" s="9">
        <v>10.426756820495854</v>
      </c>
      <c r="M10" s="9">
        <v>10.306610529637918</v>
      </c>
      <c r="N10" s="9">
        <v>10.385394399544607</v>
      </c>
      <c r="O10" s="9">
        <v>10.619174749720095</v>
      </c>
      <c r="P10" s="9">
        <v>10.738471915756346</v>
      </c>
    </row>
    <row r="11" spans="1:16">
      <c r="A11" s="26">
        <v>10</v>
      </c>
      <c r="B11" s="9">
        <v>10.675788114531557</v>
      </c>
      <c r="C11" s="9">
        <v>11.308518698116107</v>
      </c>
      <c r="D11" s="9">
        <v>11.52669026365054</v>
      </c>
      <c r="E11" s="9">
        <v>11.168603713542916</v>
      </c>
      <c r="F11" s="9">
        <v>10.894207953291119</v>
      </c>
      <c r="G11" s="9">
        <v>10.928099916145626</v>
      </c>
      <c r="H11" s="9">
        <v>11.278457634559619</v>
      </c>
      <c r="I11" s="9">
        <v>11.579837930455804</v>
      </c>
      <c r="J11" s="29">
        <v>11.74313523572415</v>
      </c>
      <c r="K11" s="9">
        <v>11.927097647623164</v>
      </c>
      <c r="L11" s="9">
        <v>12.02662772987617</v>
      </c>
      <c r="M11" s="9">
        <v>11.7385285111784</v>
      </c>
      <c r="N11" s="9">
        <v>11.656725541389946</v>
      </c>
      <c r="O11" s="9">
        <v>11.535008030498002</v>
      </c>
      <c r="P11" s="9">
        <v>12.024390093032613</v>
      </c>
    </row>
    <row r="12" spans="1:16">
      <c r="A12" s="26">
        <v>11</v>
      </c>
      <c r="B12" s="9">
        <v>10.656514024084561</v>
      </c>
      <c r="C12" s="9">
        <v>10.48877635047139</v>
      </c>
      <c r="D12" s="9">
        <v>9.954768686686144</v>
      </c>
      <c r="E12" s="9">
        <v>10.575108114693826</v>
      </c>
      <c r="F12" s="9">
        <v>11.185442326038734</v>
      </c>
      <c r="G12" s="9">
        <v>11.632708430934002</v>
      </c>
      <c r="H12" s="9">
        <v>11.564231184292705</v>
      </c>
      <c r="I12" s="9">
        <v>11.597351607463143</v>
      </c>
      <c r="J12" s="29">
        <v>11.317688461898644</v>
      </c>
      <c r="K12" s="9">
        <v>11.242772919766509</v>
      </c>
      <c r="L12" s="9">
        <v>11.520366330985492</v>
      </c>
      <c r="M12" s="9">
        <v>11.819695603940707</v>
      </c>
      <c r="N12" s="9">
        <v>11.879458247231952</v>
      </c>
      <c r="O12" s="9">
        <v>11.691156059329803</v>
      </c>
      <c r="P12" s="9">
        <v>11.161541409982307</v>
      </c>
    </row>
    <row r="13" spans="1:16">
      <c r="A13" s="26">
        <v>12</v>
      </c>
      <c r="B13" s="9">
        <v>10.74941505359644</v>
      </c>
      <c r="C13" s="9">
        <v>10.716486619218198</v>
      </c>
      <c r="D13" s="9">
        <v>10.652730741846923</v>
      </c>
      <c r="E13" s="9">
        <v>10.544246338467927</v>
      </c>
      <c r="F13" s="9">
        <v>10.337561277789183</v>
      </c>
      <c r="G13" s="9">
        <v>10.709941726545807</v>
      </c>
      <c r="H13" s="9">
        <v>10.471128246874274</v>
      </c>
      <c r="I13" s="9">
        <v>10.203763134449064</v>
      </c>
      <c r="J13" s="29">
        <v>10.437492674792349</v>
      </c>
      <c r="K13" s="9">
        <v>10.593924221367178</v>
      </c>
      <c r="L13" s="9">
        <v>10.447554063764823</v>
      </c>
      <c r="M13" s="9">
        <v>10.065508061115036</v>
      </c>
      <c r="N13" s="9">
        <v>9.965254922909887</v>
      </c>
      <c r="O13" s="9">
        <v>10.10153419236959</v>
      </c>
      <c r="P13" s="9">
        <v>10.04114638419191</v>
      </c>
    </row>
    <row r="14" spans="1:16">
      <c r="A14" s="26">
        <v>13</v>
      </c>
      <c r="B14" s="9">
        <v>10.46524395741217</v>
      </c>
      <c r="C14" s="9">
        <v>10.445656635035583</v>
      </c>
      <c r="D14" s="9">
        <v>10.645485707975878</v>
      </c>
      <c r="E14" s="9">
        <v>10.789646343372983</v>
      </c>
      <c r="F14" s="9">
        <v>10.913789092661563</v>
      </c>
      <c r="G14" s="9">
        <v>10.884483280726901</v>
      </c>
      <c r="H14" s="9">
        <v>11.339907128594005</v>
      </c>
      <c r="I14" s="9">
        <v>11.1414515010207</v>
      </c>
      <c r="J14" s="29">
        <v>11.375441610943019</v>
      </c>
      <c r="K14" s="9">
        <v>11.738182701162534</v>
      </c>
      <c r="L14" s="9">
        <v>11.89052243693736</v>
      </c>
      <c r="M14" s="9">
        <v>12.25283665320981</v>
      </c>
      <c r="N14" s="9">
        <v>12.033619435438045</v>
      </c>
      <c r="O14" s="9">
        <v>12.690477169835788</v>
      </c>
      <c r="P14" s="9">
        <v>12.837945887256456</v>
      </c>
    </row>
    <row r="15" spans="1:16">
      <c r="A15" s="26">
        <v>14</v>
      </c>
      <c r="B15" s="9">
        <v>10.738120622172122</v>
      </c>
      <c r="C15" s="9">
        <v>10.626991334604835</v>
      </c>
      <c r="D15" s="9">
        <v>10.33419423202267</v>
      </c>
      <c r="E15" s="9">
        <v>10.247516011865192</v>
      </c>
      <c r="F15" s="9">
        <v>10.434774724221015</v>
      </c>
      <c r="G15" s="9">
        <v>11.02089832423999</v>
      </c>
      <c r="H15" s="9">
        <v>11.087530445858887</v>
      </c>
      <c r="I15" s="9">
        <v>10.939433235932379</v>
      </c>
      <c r="J15" s="29">
        <v>11.344584967614793</v>
      </c>
      <c r="K15" s="9">
        <v>11.273544654592053</v>
      </c>
      <c r="L15" s="9">
        <v>11.333268154255935</v>
      </c>
      <c r="M15" s="9">
        <v>11.048047779375882</v>
      </c>
      <c r="N15" s="9">
        <v>10.672403258379898</v>
      </c>
      <c r="O15" s="9">
        <v>10.901558702312327</v>
      </c>
      <c r="P15" s="9">
        <v>11.136084022242049</v>
      </c>
    </row>
    <row r="16" spans="1:16">
      <c r="A16" s="26">
        <v>15</v>
      </c>
      <c r="B16" s="9">
        <v>10.56818726411994</v>
      </c>
      <c r="C16" s="9">
        <v>10.626733054665971</v>
      </c>
      <c r="D16" s="9">
        <v>10.332976455838997</v>
      </c>
      <c r="E16" s="9">
        <v>10.687086819107977</v>
      </c>
      <c r="F16" s="9">
        <v>10.391398763337127</v>
      </c>
      <c r="G16" s="9">
        <v>10.448803144408457</v>
      </c>
      <c r="H16" s="9">
        <v>10.735192318833933</v>
      </c>
      <c r="I16" s="9">
        <v>11.583244337357225</v>
      </c>
      <c r="J16" s="29">
        <v>11.936260467182901</v>
      </c>
      <c r="K16" s="9">
        <v>11.791253935800166</v>
      </c>
      <c r="L16" s="9">
        <v>11.864888723443045</v>
      </c>
      <c r="M16" s="9">
        <v>11.54658262768144</v>
      </c>
      <c r="N16" s="9">
        <v>11.46713733787392</v>
      </c>
      <c r="O16" s="9">
        <v>11.767692557243491</v>
      </c>
      <c r="P16" s="9">
        <v>11.708562634153694</v>
      </c>
    </row>
    <row r="17" spans="1:16">
      <c r="A17" s="26">
        <v>16</v>
      </c>
      <c r="B17" s="9">
        <v>10.853159547942861</v>
      </c>
      <c r="C17" s="9">
        <v>10.593862718172463</v>
      </c>
      <c r="D17" s="9">
        <v>10.491821893457566</v>
      </c>
      <c r="E17" s="9">
        <v>10.413664115281772</v>
      </c>
      <c r="F17" s="9">
        <v>10.579762280655597</v>
      </c>
      <c r="G17" s="9">
        <v>11.274435098349789</v>
      </c>
      <c r="H17" s="9">
        <v>11.42435273547442</v>
      </c>
      <c r="I17" s="9">
        <v>10.832697245580345</v>
      </c>
      <c r="J17" s="29">
        <v>11.016651484010504</v>
      </c>
      <c r="K17" s="9">
        <v>10.731599036370193</v>
      </c>
      <c r="L17" s="9">
        <v>10.685656713127447</v>
      </c>
      <c r="M17" s="9">
        <v>10.625475878718587</v>
      </c>
      <c r="N17" s="9">
        <v>10.981223320312782</v>
      </c>
      <c r="O17" s="9">
        <v>11.071981092718346</v>
      </c>
      <c r="P17" s="9">
        <v>11.001289195679867</v>
      </c>
    </row>
    <row r="18" spans="1:16">
      <c r="A18" s="26">
        <v>17</v>
      </c>
      <c r="B18" s="9">
        <v>10.787698180999625</v>
      </c>
      <c r="C18" s="9">
        <v>10.857715590013765</v>
      </c>
      <c r="D18" s="9">
        <v>10.839708042423309</v>
      </c>
      <c r="E18" s="9">
        <v>11.144108023098042</v>
      </c>
      <c r="F18" s="9">
        <v>11.398830446277929</v>
      </c>
      <c r="G18" s="9">
        <v>11.417860467803376</v>
      </c>
      <c r="H18" s="9">
        <v>11.355266775478334</v>
      </c>
      <c r="I18" s="9">
        <v>11.277995232252326</v>
      </c>
      <c r="J18" s="29">
        <v>11.152798013054417</v>
      </c>
      <c r="K18" s="9">
        <v>11.48135463972349</v>
      </c>
      <c r="L18" s="9">
        <v>11.409623703423215</v>
      </c>
      <c r="M18" s="9">
        <v>11.289012925978934</v>
      </c>
      <c r="N18" s="9">
        <v>11.440782468725159</v>
      </c>
      <c r="O18" s="9">
        <v>11.613308265452886</v>
      </c>
      <c r="P18" s="9">
        <v>12.26494385874954</v>
      </c>
    </row>
    <row r="19" spans="1:16">
      <c r="A19" s="26">
        <v>18</v>
      </c>
      <c r="B19" s="9">
        <v>10.466002680976731</v>
      </c>
      <c r="C19" s="9">
        <v>11.053353859754838</v>
      </c>
      <c r="D19" s="9">
        <v>11.156913232616867</v>
      </c>
      <c r="E19" s="9">
        <v>10.934520103701329</v>
      </c>
      <c r="F19" s="9">
        <v>11.225450204675964</v>
      </c>
      <c r="G19" s="9">
        <v>11.523150107413349</v>
      </c>
      <c r="H19" s="9">
        <v>12.157758863620431</v>
      </c>
      <c r="I19" s="9">
        <v>12.40895214030801</v>
      </c>
      <c r="J19" s="29">
        <v>12.43445097908811</v>
      </c>
      <c r="K19" s="9">
        <v>12.377076623327968</v>
      </c>
      <c r="L19" s="9">
        <v>12.266300385204655</v>
      </c>
      <c r="M19" s="9">
        <v>11.806518323377768</v>
      </c>
      <c r="N19" s="9">
        <v>12.094232522667529</v>
      </c>
      <c r="O19" s="9">
        <v>12.237704964718663</v>
      </c>
      <c r="P19" s="9">
        <v>12.559377032630211</v>
      </c>
    </row>
    <row r="20" spans="1:16">
      <c r="A20" s="26">
        <v>19</v>
      </c>
      <c r="B20" s="9">
        <v>11.216763977945043</v>
      </c>
      <c r="C20" s="9">
        <v>11.320670048491261</v>
      </c>
      <c r="D20" s="9">
        <v>11.229457589744232</v>
      </c>
      <c r="E20" s="9">
        <v>11.129565609991314</v>
      </c>
      <c r="F20" s="9">
        <v>11.136408460641924</v>
      </c>
      <c r="G20" s="9">
        <v>11.044656140626477</v>
      </c>
      <c r="H20" s="9">
        <v>11.004620163751389</v>
      </c>
      <c r="I20" s="9">
        <v>10.895289141242552</v>
      </c>
      <c r="J20" s="29">
        <v>11.021839641128699</v>
      </c>
      <c r="K20" s="9">
        <v>11.140268651481305</v>
      </c>
      <c r="L20" s="9">
        <v>11.156343709469237</v>
      </c>
      <c r="M20" s="9">
        <v>11.349848538630694</v>
      </c>
      <c r="N20" s="9">
        <v>11.548144861675427</v>
      </c>
      <c r="O20" s="9">
        <v>11.761729161223178</v>
      </c>
      <c r="P20" s="9">
        <v>12.256632728294464</v>
      </c>
    </row>
    <row r="21" spans="1:16">
      <c r="A21" s="26">
        <v>20</v>
      </c>
      <c r="B21" s="9">
        <v>10.873488448825615</v>
      </c>
      <c r="C21" s="9">
        <v>11.334829910438504</v>
      </c>
      <c r="D21" s="9">
        <v>11.230084402074203</v>
      </c>
      <c r="E21" s="9">
        <v>10.85231856903418</v>
      </c>
      <c r="F21" s="9">
        <v>10.50688817099295</v>
      </c>
      <c r="G21" s="9">
        <v>10.165291011230678</v>
      </c>
      <c r="H21" s="9">
        <v>10.077631300875263</v>
      </c>
      <c r="I21" s="9">
        <v>10.000862549485525</v>
      </c>
      <c r="J21" s="29">
        <v>9.6664297714876639</v>
      </c>
      <c r="K21" s="9">
        <v>9.5444582507108997</v>
      </c>
      <c r="L21" s="9">
        <v>9.8546148824983124</v>
      </c>
      <c r="M21" s="9">
        <v>10.322726612656577</v>
      </c>
      <c r="N21" s="9">
        <v>10.694128184041928</v>
      </c>
      <c r="O21" s="9">
        <v>10.73955878470365</v>
      </c>
      <c r="P21" s="9">
        <v>11.005432148806632</v>
      </c>
    </row>
    <row r="22" spans="1:16">
      <c r="A22" s="26">
        <v>21</v>
      </c>
      <c r="B22" s="9">
        <v>10.761264563816333</v>
      </c>
      <c r="C22" s="9">
        <v>10.937969739462622</v>
      </c>
      <c r="D22" s="9">
        <v>11.258884456549216</v>
      </c>
      <c r="E22" s="9">
        <v>11.313546854900196</v>
      </c>
      <c r="F22" s="9">
        <v>11.373382698397013</v>
      </c>
      <c r="G22" s="9">
        <v>11.803906045258378</v>
      </c>
      <c r="H22" s="9">
        <v>11.618941609908957</v>
      </c>
      <c r="I22" s="9">
        <v>11.355311111478159</v>
      </c>
      <c r="J22" s="29">
        <v>11.053361808022073</v>
      </c>
      <c r="K22" s="9">
        <v>11.035292408864029</v>
      </c>
      <c r="L22" s="9">
        <v>10.99015318953083</v>
      </c>
      <c r="M22" s="9">
        <v>11.831335591772385</v>
      </c>
      <c r="N22" s="9">
        <v>12.014227308398516</v>
      </c>
      <c r="O22" s="9">
        <v>11.587359037853641</v>
      </c>
      <c r="P22" s="9">
        <v>11.776753067211903</v>
      </c>
    </row>
    <row r="23" spans="1:16">
      <c r="A23" s="26">
        <v>22</v>
      </c>
      <c r="B23" s="9">
        <v>10.675924019401553</v>
      </c>
      <c r="C23" s="9">
        <v>10.689537274480774</v>
      </c>
      <c r="D23" s="9">
        <v>10.602322121592845</v>
      </c>
      <c r="E23" s="9">
        <v>10.624380696480934</v>
      </c>
      <c r="F23" s="9">
        <v>10.735503783140985</v>
      </c>
      <c r="G23" s="9">
        <v>10.851231775256792</v>
      </c>
      <c r="H23" s="9">
        <v>11.133803737557693</v>
      </c>
      <c r="I23" s="9">
        <v>11.054072552720235</v>
      </c>
      <c r="J23" s="29">
        <v>11.617401482823132</v>
      </c>
      <c r="K23" s="9">
        <v>12.072788141039796</v>
      </c>
      <c r="L23" s="9">
        <v>11.712055420707564</v>
      </c>
      <c r="M23" s="9">
        <v>11.930767426054587</v>
      </c>
      <c r="N23" s="9">
        <v>12.127632416430849</v>
      </c>
      <c r="O23" s="9">
        <v>12.508686184008976</v>
      </c>
      <c r="P23" s="9">
        <v>11.99551825209493</v>
      </c>
    </row>
    <row r="24" spans="1:16">
      <c r="A24" s="26">
        <v>23</v>
      </c>
      <c r="B24" s="9">
        <v>10.400635768360162</v>
      </c>
      <c r="C24" s="9">
        <v>10.599969266030234</v>
      </c>
      <c r="D24" s="9">
        <v>10.565102006508992</v>
      </c>
      <c r="E24" s="9">
        <v>10.692824759841198</v>
      </c>
      <c r="F24" s="9">
        <v>10.304652724503592</v>
      </c>
      <c r="G24" s="9">
        <v>10.669727851149677</v>
      </c>
      <c r="H24" s="9">
        <v>11.095663121660955</v>
      </c>
      <c r="I24" s="9">
        <v>11.137232105623649</v>
      </c>
      <c r="J24" s="29">
        <v>10.996756639451284</v>
      </c>
      <c r="K24" s="9">
        <v>10.922018577439472</v>
      </c>
      <c r="L24" s="9">
        <v>11.099959373416398</v>
      </c>
      <c r="M24" s="9">
        <v>11.30758566865353</v>
      </c>
      <c r="N24" s="9">
        <v>11.167065623291228</v>
      </c>
      <c r="O24" s="9">
        <v>11.405405130772984</v>
      </c>
      <c r="P24" s="9">
        <v>11.348648390573983</v>
      </c>
    </row>
    <row r="25" spans="1:16">
      <c r="A25" s="26">
        <v>24</v>
      </c>
      <c r="B25" s="9">
        <v>10.988679025691969</v>
      </c>
      <c r="C25" s="9">
        <v>10.601086115617026</v>
      </c>
      <c r="D25" s="9">
        <v>10.585108857304188</v>
      </c>
      <c r="E25" s="9">
        <v>10.112788400092301</v>
      </c>
      <c r="F25" s="9">
        <v>10.105606340852251</v>
      </c>
      <c r="G25" s="9">
        <v>10.403809090667773</v>
      </c>
      <c r="H25" s="9">
        <v>10.121821819212711</v>
      </c>
      <c r="I25" s="9">
        <v>10.579870173021316</v>
      </c>
      <c r="J25" s="29">
        <v>10.977894378613334</v>
      </c>
      <c r="K25" s="9">
        <v>10.812124453388794</v>
      </c>
      <c r="L25" s="9">
        <v>10.98991234256351</v>
      </c>
      <c r="M25" s="9">
        <v>10.964226280702377</v>
      </c>
      <c r="N25" s="9">
        <v>11.008771625319756</v>
      </c>
      <c r="O25" s="9">
        <v>11.00960456388178</v>
      </c>
      <c r="P25" s="9">
        <v>11.60177896692163</v>
      </c>
    </row>
    <row r="26" spans="1:16">
      <c r="A26" s="26">
        <v>25</v>
      </c>
      <c r="B26" s="9">
        <v>10.727262787488936</v>
      </c>
      <c r="C26" s="9">
        <v>10.989212030458468</v>
      </c>
      <c r="D26" s="9">
        <v>11.351615259208007</v>
      </c>
      <c r="E26" s="9">
        <v>11.266434227448864</v>
      </c>
      <c r="F26" s="9">
        <v>10.968125184258676</v>
      </c>
      <c r="G26" s="9">
        <v>11.247565061081161</v>
      </c>
      <c r="H26" s="9">
        <v>11.71462532789212</v>
      </c>
      <c r="I26" s="9">
        <v>11.226866350660641</v>
      </c>
      <c r="J26" s="29">
        <v>11.346677190529473</v>
      </c>
      <c r="K26" s="9">
        <v>10.983000339895778</v>
      </c>
      <c r="L26" s="9">
        <v>11.280096784903925</v>
      </c>
      <c r="M26" s="9">
        <v>11.230574141500995</v>
      </c>
      <c r="N26" s="9">
        <v>11.765477312734815</v>
      </c>
      <c r="O26" s="9">
        <v>11.710893608038292</v>
      </c>
      <c r="P26" s="9">
        <v>11.948101793825101</v>
      </c>
    </row>
    <row r="27" spans="1:16">
      <c r="A27" s="26">
        <v>26</v>
      </c>
      <c r="B27" s="9">
        <v>10.959008724033719</v>
      </c>
      <c r="C27" s="9">
        <v>11.175570483791709</v>
      </c>
      <c r="D27" s="9">
        <v>11.165417903545075</v>
      </c>
      <c r="E27" s="9">
        <v>10.894489537805232</v>
      </c>
      <c r="F27" s="9">
        <v>10.643562516792652</v>
      </c>
      <c r="G27" s="9">
        <v>11.124253053235071</v>
      </c>
      <c r="H27" s="9">
        <v>11.277764978688163</v>
      </c>
      <c r="I27" s="9">
        <v>11.56043604460066</v>
      </c>
      <c r="J27" s="29">
        <v>11.35751250417735</v>
      </c>
      <c r="K27" s="9">
        <v>11.260392189747146</v>
      </c>
      <c r="L27" s="9">
        <v>11.274645326092203</v>
      </c>
      <c r="M27" s="9">
        <v>11.454963389399273</v>
      </c>
      <c r="N27" s="9">
        <v>11.609717921278147</v>
      </c>
      <c r="O27" s="9">
        <v>12.020977093663721</v>
      </c>
      <c r="P27" s="9">
        <v>11.811371162537965</v>
      </c>
    </row>
    <row r="28" spans="1:16">
      <c r="A28" s="26">
        <v>27</v>
      </c>
      <c r="B28" s="9">
        <v>10.82806216476977</v>
      </c>
      <c r="C28" s="9">
        <v>10.883381658290231</v>
      </c>
      <c r="D28" s="9">
        <v>11.119723401493061</v>
      </c>
      <c r="E28" s="9">
        <v>11.043558617233533</v>
      </c>
      <c r="F28" s="9">
        <v>10.957630562478911</v>
      </c>
      <c r="G28" s="9">
        <v>10.535650182453391</v>
      </c>
      <c r="H28" s="9">
        <v>10.950274617787146</v>
      </c>
      <c r="I28" s="9">
        <v>10.584178974535604</v>
      </c>
      <c r="J28" s="29">
        <v>10.96465276571001</v>
      </c>
      <c r="K28" s="9">
        <v>11.511216572784665</v>
      </c>
      <c r="L28" s="9">
        <v>11.056357931887511</v>
      </c>
      <c r="M28" s="9">
        <v>11.43416738796361</v>
      </c>
      <c r="N28" s="9">
        <v>11.146208391555801</v>
      </c>
      <c r="O28" s="9">
        <v>10.856976301178211</v>
      </c>
      <c r="P28" s="9">
        <v>10.665472537439257</v>
      </c>
    </row>
    <row r="29" spans="1:16">
      <c r="A29" s="26">
        <v>28</v>
      </c>
      <c r="B29" s="9">
        <v>11.042271268280192</v>
      </c>
      <c r="C29" s="9">
        <v>10.799726787874969</v>
      </c>
      <c r="D29" s="9">
        <v>10.978286136406128</v>
      </c>
      <c r="E29" s="9">
        <v>11.250195749765828</v>
      </c>
      <c r="F29" s="9">
        <v>12.056353775449121</v>
      </c>
      <c r="G29" s="9">
        <v>12.431568447357282</v>
      </c>
      <c r="H29" s="9">
        <v>12.73598080887964</v>
      </c>
      <c r="I29" s="9">
        <v>12.919245860036188</v>
      </c>
      <c r="J29" s="29">
        <v>12.710813666814492</v>
      </c>
      <c r="K29" s="9">
        <v>12.154935365092575</v>
      </c>
      <c r="L29" s="9">
        <v>12.173772193499001</v>
      </c>
      <c r="M29" s="9">
        <v>12.877320178436394</v>
      </c>
      <c r="N29" s="9">
        <v>13.337948602833277</v>
      </c>
      <c r="O29" s="9">
        <v>14.038919175404056</v>
      </c>
      <c r="P29" s="9">
        <v>14.329058573159806</v>
      </c>
    </row>
    <row r="30" spans="1:16">
      <c r="A30" s="26">
        <v>29</v>
      </c>
      <c r="B30" s="9">
        <v>10.166336843090026</v>
      </c>
      <c r="C30" s="9">
        <v>10.011751790329829</v>
      </c>
      <c r="D30" s="9">
        <v>10.000408477431215</v>
      </c>
      <c r="E30" s="9">
        <v>10.142496321983419</v>
      </c>
      <c r="F30" s="9">
        <v>10.2698219126066</v>
      </c>
      <c r="G30" s="9">
        <v>10.117684721507098</v>
      </c>
      <c r="H30" s="9">
        <v>10.049105257954331</v>
      </c>
      <c r="I30" s="9">
        <v>10.236907167344039</v>
      </c>
      <c r="J30" s="29">
        <v>10.152207696055518</v>
      </c>
      <c r="K30" s="9">
        <v>10.622935455520532</v>
      </c>
      <c r="L30" s="9">
        <v>10.917201051576543</v>
      </c>
      <c r="M30" s="9">
        <v>11.089670003438469</v>
      </c>
      <c r="N30" s="9">
        <v>10.632146020601205</v>
      </c>
      <c r="O30" s="9">
        <v>10.937245072243769</v>
      </c>
      <c r="P30" s="9">
        <v>11.286574032395313</v>
      </c>
    </row>
    <row r="31" spans="1:16">
      <c r="A31" s="26">
        <v>30</v>
      </c>
      <c r="B31" s="9">
        <v>10.524292073699375</v>
      </c>
      <c r="C31" s="9">
        <v>10.451564698544498</v>
      </c>
      <c r="D31" s="9">
        <v>10.987716339736044</v>
      </c>
      <c r="E31" s="9">
        <v>11.597261504059325</v>
      </c>
      <c r="F31" s="9">
        <v>11.471172023112581</v>
      </c>
      <c r="G31" s="9">
        <v>11.34634713121555</v>
      </c>
      <c r="H31" s="9">
        <v>11.436372059370397</v>
      </c>
      <c r="I31" s="9">
        <v>11.738384904941793</v>
      </c>
      <c r="J31" s="29">
        <v>11.277529862070804</v>
      </c>
      <c r="K31" s="9">
        <v>11.074938311697007</v>
      </c>
      <c r="L31" s="9">
        <v>11.181417444780319</v>
      </c>
      <c r="M31" s="9">
        <v>11.746588477346924</v>
      </c>
      <c r="N31" s="9">
        <v>12.078496243732626</v>
      </c>
      <c r="O31" s="9">
        <v>12.284661948643233</v>
      </c>
      <c r="P31" s="9">
        <v>12.824638000253243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8.2211157093828309</v>
      </c>
      <c r="C2" s="9">
        <v>8.5102306440859312</v>
      </c>
      <c r="D2" s="9">
        <v>8.6711709390041278</v>
      </c>
      <c r="E2" s="9">
        <v>9.0303412496354607</v>
      </c>
      <c r="F2" s="9">
        <v>8.9977178626426841</v>
      </c>
      <c r="G2" s="9">
        <v>8.4952619221280532</v>
      </c>
      <c r="H2" s="9">
        <v>8.8424855680767962</v>
      </c>
      <c r="I2" s="9">
        <v>8.8009080810596831</v>
      </c>
      <c r="J2" s="29">
        <v>8.7959138398145065</v>
      </c>
      <c r="K2" s="9">
        <v>8.5801378199007274</v>
      </c>
      <c r="L2" s="9">
        <v>8.6235945436335282</v>
      </c>
      <c r="M2" s="9">
        <v>8.8667673428188891</v>
      </c>
      <c r="N2" s="9">
        <v>8.7847284896190327</v>
      </c>
      <c r="O2" s="9">
        <v>8.8627687103220758</v>
      </c>
      <c r="P2" s="9">
        <v>8.1205054534040926</v>
      </c>
    </row>
    <row r="3" spans="1:16">
      <c r="A3" s="26">
        <v>2</v>
      </c>
      <c r="B3" s="9">
        <v>8.2829086684397843</v>
      </c>
      <c r="C3" s="9">
        <v>7.8136575844105804</v>
      </c>
      <c r="D3" s="9">
        <v>7.8607035646872125</v>
      </c>
      <c r="E3" s="9">
        <v>7.9369480009152973</v>
      </c>
      <c r="F3" s="9">
        <v>7.9495359530419725</v>
      </c>
      <c r="G3" s="9">
        <v>8.391666662795835</v>
      </c>
      <c r="H3" s="9">
        <v>8.1060480464376905</v>
      </c>
      <c r="I3" s="9">
        <v>8.3651193441187779</v>
      </c>
      <c r="J3" s="29">
        <v>8.2623917171040375</v>
      </c>
      <c r="K3" s="9">
        <v>8.3930610036977917</v>
      </c>
      <c r="L3" s="9">
        <v>8.7607078498810758</v>
      </c>
      <c r="M3" s="9">
        <v>8.6142632442092228</v>
      </c>
      <c r="N3" s="9">
        <v>8.2584097000604793</v>
      </c>
      <c r="O3" s="9">
        <v>8.2363567673197338</v>
      </c>
      <c r="P3" s="9">
        <v>8.3826964031994269</v>
      </c>
    </row>
    <row r="4" spans="1:16">
      <c r="A4" s="26">
        <v>3</v>
      </c>
      <c r="B4" s="9">
        <v>8.5453048814796677</v>
      </c>
      <c r="C4" s="9">
        <v>8.5983457563506533</v>
      </c>
      <c r="D4" s="9">
        <v>8.3891457444438267</v>
      </c>
      <c r="E4" s="9">
        <v>8.5144485585873486</v>
      </c>
      <c r="F4" s="9">
        <v>8.0671392627775607</v>
      </c>
      <c r="G4" s="9">
        <v>8.8328979093184685</v>
      </c>
      <c r="H4" s="9">
        <v>9.1541242058122094</v>
      </c>
      <c r="I4" s="9">
        <v>8.870358024608203</v>
      </c>
      <c r="J4" s="29">
        <v>9.0155428224585847</v>
      </c>
      <c r="K4" s="9">
        <v>8.7586311628123852</v>
      </c>
      <c r="L4" s="9">
        <v>8.8142364692393524</v>
      </c>
      <c r="M4" s="9">
        <v>8.4010444498719306</v>
      </c>
      <c r="N4" s="9">
        <v>8.6362279621002411</v>
      </c>
      <c r="O4" s="9">
        <v>8.6025398589077771</v>
      </c>
      <c r="P4" s="9">
        <v>8.420728174077496</v>
      </c>
    </row>
    <row r="5" spans="1:16">
      <c r="A5" s="26">
        <v>4</v>
      </c>
      <c r="B5" s="9">
        <v>8.319840039659212</v>
      </c>
      <c r="C5" s="9">
        <v>8.5826290252592656</v>
      </c>
      <c r="D5" s="9">
        <v>8.6901401616815974</v>
      </c>
      <c r="E5" s="9">
        <v>8.4411623993852931</v>
      </c>
      <c r="F5" s="9">
        <v>8.4448804275776528</v>
      </c>
      <c r="G5" s="9">
        <v>8.2787693226612351</v>
      </c>
      <c r="H5" s="9">
        <v>8.2588167839446776</v>
      </c>
      <c r="I5" s="9">
        <v>8.7942787940420803</v>
      </c>
      <c r="J5" s="29">
        <v>8.7238209066566395</v>
      </c>
      <c r="K5" s="9">
        <v>8.8743635003847086</v>
      </c>
      <c r="L5" s="9">
        <v>9.3030902067002739</v>
      </c>
      <c r="M5" s="9">
        <v>9.5456108291391519</v>
      </c>
      <c r="N5" s="9">
        <v>9.7838328378375259</v>
      </c>
      <c r="O5" s="9">
        <v>8.8693548043810821</v>
      </c>
      <c r="P5" s="9">
        <v>8.7861095347243676</v>
      </c>
    </row>
    <row r="6" spans="1:16">
      <c r="A6" s="26">
        <v>5</v>
      </c>
      <c r="B6" s="9">
        <v>7.6033802374499908</v>
      </c>
      <c r="C6" s="9">
        <v>7.8878114596025037</v>
      </c>
      <c r="D6" s="9">
        <v>8.1285913950911333</v>
      </c>
      <c r="E6" s="9">
        <v>8.5786582038477341</v>
      </c>
      <c r="F6" s="9">
        <v>8.565257796595878</v>
      </c>
      <c r="G6" s="9">
        <v>8.6365121016319577</v>
      </c>
      <c r="H6" s="9">
        <v>8.7117417327129782</v>
      </c>
      <c r="I6" s="9">
        <v>8.5993440538599604</v>
      </c>
      <c r="J6" s="29">
        <v>9.1542709305843957</v>
      </c>
      <c r="K6" s="9">
        <v>9.1997282681904533</v>
      </c>
      <c r="L6" s="9">
        <v>9.1252947920554544</v>
      </c>
      <c r="M6" s="9">
        <v>9.1434468289334578</v>
      </c>
      <c r="N6" s="9">
        <v>10.32326893135226</v>
      </c>
      <c r="O6" s="9">
        <v>10.121058804246653</v>
      </c>
      <c r="P6" s="9">
        <v>10.592847260941237</v>
      </c>
    </row>
    <row r="7" spans="1:16">
      <c r="A7" s="26">
        <v>6</v>
      </c>
      <c r="B7" s="9">
        <v>8.7194046249580683</v>
      </c>
      <c r="C7" s="9">
        <v>8.6079599973555929</v>
      </c>
      <c r="D7" s="9">
        <v>8.6103831726589899</v>
      </c>
      <c r="E7" s="9">
        <v>8.4943369219213327</v>
      </c>
      <c r="F7" s="9">
        <v>9.0700728924307992</v>
      </c>
      <c r="G7" s="9">
        <v>8.9709526769121091</v>
      </c>
      <c r="H7" s="9">
        <v>8.5202358346594771</v>
      </c>
      <c r="I7" s="9">
        <v>8.0865835776235642</v>
      </c>
      <c r="J7" s="29">
        <v>8.317737361272652</v>
      </c>
      <c r="K7" s="9">
        <v>8.1373301120169241</v>
      </c>
      <c r="L7" s="9">
        <v>7.860691719438587</v>
      </c>
      <c r="M7" s="9">
        <v>7.6434060301402011</v>
      </c>
      <c r="N7" s="9">
        <v>7.5941717724913449</v>
      </c>
      <c r="O7" s="9">
        <v>7.5023544379299558</v>
      </c>
      <c r="P7" s="9">
        <v>7.7997193206609428</v>
      </c>
    </row>
    <row r="8" spans="1:16">
      <c r="A8" s="26">
        <v>7</v>
      </c>
      <c r="B8" s="9">
        <v>8.8240507885387593</v>
      </c>
      <c r="C8" s="9">
        <v>9.5394437825668312</v>
      </c>
      <c r="D8" s="9">
        <v>10.072967391375702</v>
      </c>
      <c r="E8" s="9">
        <v>10.216963233861588</v>
      </c>
      <c r="F8" s="9">
        <v>10.028539234973865</v>
      </c>
      <c r="G8" s="9">
        <v>9.7716057639430005</v>
      </c>
      <c r="H8" s="9">
        <v>9.2383715007390972</v>
      </c>
      <c r="I8" s="9">
        <v>9.094910079135861</v>
      </c>
      <c r="J8" s="29">
        <v>8.6189373608608904</v>
      </c>
      <c r="K8" s="9">
        <v>8.2671182439011428</v>
      </c>
      <c r="L8" s="9">
        <v>7.9391477627358453</v>
      </c>
      <c r="M8" s="9">
        <v>7.6960436222471467</v>
      </c>
      <c r="N8" s="9">
        <v>7.7788013693825695</v>
      </c>
      <c r="O8" s="9">
        <v>8.0396728085536608</v>
      </c>
      <c r="P8" s="9">
        <v>8.2911313829102564</v>
      </c>
    </row>
    <row r="9" spans="1:16">
      <c r="A9" s="26">
        <v>8</v>
      </c>
      <c r="B9" s="9">
        <v>8.7254703122417023</v>
      </c>
      <c r="C9" s="9">
        <v>9.0563581614769237</v>
      </c>
      <c r="D9" s="9">
        <v>8.8994431788557744</v>
      </c>
      <c r="E9" s="9">
        <v>9.0237840633819921</v>
      </c>
      <c r="F9" s="9">
        <v>8.7441632388098736</v>
      </c>
      <c r="G9" s="9">
        <v>8.5066110187264599</v>
      </c>
      <c r="H9" s="9">
        <v>8.869296348041857</v>
      </c>
      <c r="I9" s="9">
        <v>9.0410644365887158</v>
      </c>
      <c r="J9" s="29">
        <v>8.9403958251834137</v>
      </c>
      <c r="K9" s="9">
        <v>9.1424405841794041</v>
      </c>
      <c r="L9" s="9">
        <v>9.386595295213823</v>
      </c>
      <c r="M9" s="9">
        <v>9.1679059012416673</v>
      </c>
      <c r="N9" s="9">
        <v>9.1567484588924746</v>
      </c>
      <c r="O9" s="9">
        <v>9.7866651962382694</v>
      </c>
      <c r="P9" s="9">
        <v>10.454390783550192</v>
      </c>
    </row>
    <row r="10" spans="1:16">
      <c r="A10" s="26">
        <v>9</v>
      </c>
      <c r="B10" s="9">
        <v>9.0079432929655248</v>
      </c>
      <c r="C10" s="9">
        <v>9.2063691914548187</v>
      </c>
      <c r="D10" s="9">
        <v>9.4019198669448478</v>
      </c>
      <c r="E10" s="9">
        <v>9.7108849842730134</v>
      </c>
      <c r="F10" s="9">
        <v>9.7599982525890585</v>
      </c>
      <c r="G10" s="9">
        <v>9.3894373471490944</v>
      </c>
      <c r="H10" s="9">
        <v>10.239005277906573</v>
      </c>
      <c r="I10" s="9">
        <v>9.9024562704313102</v>
      </c>
      <c r="J10" s="29">
        <v>9.8347635912859257</v>
      </c>
      <c r="K10" s="9">
        <v>9.4964340504787472</v>
      </c>
      <c r="L10" s="9">
        <v>9.1311817004735918</v>
      </c>
      <c r="M10" s="9">
        <v>9.4465782360368333</v>
      </c>
      <c r="N10" s="9">
        <v>9.2757546534178115</v>
      </c>
      <c r="O10" s="9">
        <v>9.4250849538239478</v>
      </c>
      <c r="P10" s="9">
        <v>8.8385540320462948</v>
      </c>
    </row>
    <row r="11" spans="1:16">
      <c r="A11" s="26">
        <v>10</v>
      </c>
      <c r="B11" s="9">
        <v>8.2382673520111194</v>
      </c>
      <c r="C11" s="9">
        <v>8.7005024834997684</v>
      </c>
      <c r="D11" s="9">
        <v>9.1591653611815325</v>
      </c>
      <c r="E11" s="9">
        <v>9.4020064347627095</v>
      </c>
      <c r="F11" s="9">
        <v>9.2998828295312457</v>
      </c>
      <c r="G11" s="9">
        <v>9.4369345196617491</v>
      </c>
      <c r="H11" s="9">
        <v>8.7582861308718307</v>
      </c>
      <c r="I11" s="9">
        <v>9.1984753106080994</v>
      </c>
      <c r="J11" s="29">
        <v>9.3035879976347253</v>
      </c>
      <c r="K11" s="9">
        <v>9.0053311912677128</v>
      </c>
      <c r="L11" s="9">
        <v>8.7977453334198206</v>
      </c>
      <c r="M11" s="9">
        <v>9.3460419090639348</v>
      </c>
      <c r="N11" s="9">
        <v>9.2179889903430645</v>
      </c>
      <c r="O11" s="9">
        <v>9.8696655274634217</v>
      </c>
      <c r="P11" s="9">
        <v>10.124787630876654</v>
      </c>
    </row>
    <row r="12" spans="1:16">
      <c r="A12" s="26">
        <v>11</v>
      </c>
      <c r="B12" s="9">
        <v>8.4041881751841121</v>
      </c>
      <c r="C12" s="9">
        <v>8.8225550898503968</v>
      </c>
      <c r="D12" s="9">
        <v>8.6680891900859578</v>
      </c>
      <c r="E12" s="9">
        <v>8.870684187558382</v>
      </c>
      <c r="F12" s="9">
        <v>8.9214057491505407</v>
      </c>
      <c r="G12" s="9">
        <v>9.0361203770240213</v>
      </c>
      <c r="H12" s="9">
        <v>9.2175372074123167</v>
      </c>
      <c r="I12" s="9">
        <v>8.9176686159189149</v>
      </c>
      <c r="J12" s="29">
        <v>8.727519552971355</v>
      </c>
      <c r="K12" s="9">
        <v>8.1284129030412249</v>
      </c>
      <c r="L12" s="9">
        <v>7.7542281227758805</v>
      </c>
      <c r="M12" s="9">
        <v>7.6262718258557411</v>
      </c>
      <c r="N12" s="9">
        <v>7.8557685729680289</v>
      </c>
      <c r="O12" s="9">
        <v>7.5131302570949883</v>
      </c>
      <c r="P12" s="9">
        <v>7.0865397533749768</v>
      </c>
    </row>
    <row r="13" spans="1:16">
      <c r="A13" s="26">
        <v>12</v>
      </c>
      <c r="B13" s="9">
        <v>8.8443890388674227</v>
      </c>
      <c r="C13" s="9">
        <v>8.8127378326372252</v>
      </c>
      <c r="D13" s="9">
        <v>8.7388277384405999</v>
      </c>
      <c r="E13" s="9">
        <v>9.0186795723159854</v>
      </c>
      <c r="F13" s="9">
        <v>8.9685862962678158</v>
      </c>
      <c r="G13" s="9">
        <v>9.3836760931063061</v>
      </c>
      <c r="H13" s="9">
        <v>10.053574322285495</v>
      </c>
      <c r="I13" s="9">
        <v>10.035641180689348</v>
      </c>
      <c r="J13" s="29">
        <v>10.678734800217946</v>
      </c>
      <c r="K13" s="9">
        <v>10.353079452321543</v>
      </c>
      <c r="L13" s="9">
        <v>10.332262195268695</v>
      </c>
      <c r="M13" s="9">
        <v>10.073869714286634</v>
      </c>
      <c r="N13" s="9">
        <v>9.8602879583986347</v>
      </c>
      <c r="O13" s="9">
        <v>10.047472998052209</v>
      </c>
      <c r="P13" s="9">
        <v>9.9809593154869418</v>
      </c>
    </row>
    <row r="14" spans="1:16">
      <c r="A14" s="26">
        <v>13</v>
      </c>
      <c r="B14" s="9">
        <v>8.6505475029735752</v>
      </c>
      <c r="C14" s="9">
        <v>8.312415509267824</v>
      </c>
      <c r="D14" s="9">
        <v>7.6786903351199376</v>
      </c>
      <c r="E14" s="9">
        <v>7.5239145290398692</v>
      </c>
      <c r="F14" s="9">
        <v>7.3734566134653559</v>
      </c>
      <c r="G14" s="9">
        <v>7.0334285647881822</v>
      </c>
      <c r="H14" s="9">
        <v>6.7545759478378082</v>
      </c>
      <c r="I14" s="9">
        <v>7.171738556872115</v>
      </c>
      <c r="J14" s="29">
        <v>7.1461546363268988</v>
      </c>
      <c r="K14" s="9">
        <v>6.9753623097982231</v>
      </c>
      <c r="L14" s="9">
        <v>6.911979726257468</v>
      </c>
      <c r="M14" s="9">
        <v>6.584819614176797</v>
      </c>
      <c r="N14" s="9">
        <v>6.2225054926814618</v>
      </c>
      <c r="O14" s="9">
        <v>6.3985818876701002</v>
      </c>
      <c r="P14" s="9">
        <v>7.040514760240578</v>
      </c>
    </row>
    <row r="15" spans="1:16">
      <c r="A15" s="26">
        <v>14</v>
      </c>
      <c r="B15" s="9">
        <v>8.5678131122475492</v>
      </c>
      <c r="C15" s="9">
        <v>9.1792700396129607</v>
      </c>
      <c r="D15" s="9">
        <v>9.0319861167628659</v>
      </c>
      <c r="E15" s="9">
        <v>9.1158155342306806</v>
      </c>
      <c r="F15" s="9">
        <v>8.6476236054890396</v>
      </c>
      <c r="G15" s="9">
        <v>8.4116229035943402</v>
      </c>
      <c r="H15" s="9">
        <v>8.3549150417642579</v>
      </c>
      <c r="I15" s="9">
        <v>8.3656888603364266</v>
      </c>
      <c r="J15" s="29">
        <v>8.2214749039810346</v>
      </c>
      <c r="K15" s="9">
        <v>8.2493405179628692</v>
      </c>
      <c r="L15" s="9">
        <v>8.3927986734148892</v>
      </c>
      <c r="M15" s="9">
        <v>8.4166555527614264</v>
      </c>
      <c r="N15" s="9">
        <v>8.5533559971833721</v>
      </c>
      <c r="O15" s="9">
        <v>8.3681308007111195</v>
      </c>
      <c r="P15" s="9">
        <v>8.2129799859269603</v>
      </c>
    </row>
    <row r="16" spans="1:16">
      <c r="A16" s="26">
        <v>15</v>
      </c>
      <c r="B16" s="9">
        <v>8.3511274949662919</v>
      </c>
      <c r="C16" s="9">
        <v>8.659554180436551</v>
      </c>
      <c r="D16" s="9">
        <v>9.4417777412531283</v>
      </c>
      <c r="E16" s="9">
        <v>9.4922799906747777</v>
      </c>
      <c r="F16" s="9">
        <v>9.667384366321766</v>
      </c>
      <c r="G16" s="9">
        <v>9.8386073464933332</v>
      </c>
      <c r="H16" s="9">
        <v>9.8757762900915438</v>
      </c>
      <c r="I16" s="9">
        <v>10.826962477206244</v>
      </c>
      <c r="J16" s="29">
        <v>11.494594193429272</v>
      </c>
      <c r="K16" s="9">
        <v>11.725064958990894</v>
      </c>
      <c r="L16" s="9">
        <v>12.24234469570874</v>
      </c>
      <c r="M16" s="9">
        <v>12.278794436647976</v>
      </c>
      <c r="N16" s="9">
        <v>11.883924110117839</v>
      </c>
      <c r="O16" s="9">
        <v>12.037790045157779</v>
      </c>
      <c r="P16" s="9">
        <v>11.882361299234548</v>
      </c>
    </row>
    <row r="17" spans="1:16">
      <c r="A17" s="26">
        <v>16</v>
      </c>
      <c r="B17" s="9">
        <v>8.8689094016901233</v>
      </c>
      <c r="C17" s="9">
        <v>9.0852489574208217</v>
      </c>
      <c r="D17" s="9">
        <v>9.3771080031048069</v>
      </c>
      <c r="E17" s="9">
        <v>9.4783493125304386</v>
      </c>
      <c r="F17" s="9">
        <v>9.3957061616243518</v>
      </c>
      <c r="G17" s="9">
        <v>9.4019828829925043</v>
      </c>
      <c r="H17" s="9">
        <v>9.9183530467988383</v>
      </c>
      <c r="I17" s="9">
        <v>9.8970758384002444</v>
      </c>
      <c r="J17" s="29">
        <v>10.148894459006463</v>
      </c>
      <c r="K17" s="9">
        <v>10.436329211090055</v>
      </c>
      <c r="L17" s="9">
        <v>10.556834038570621</v>
      </c>
      <c r="M17" s="9">
        <v>10.408268885967368</v>
      </c>
      <c r="N17" s="9">
        <v>10.184310040826558</v>
      </c>
      <c r="O17" s="9">
        <v>10.067632600308771</v>
      </c>
      <c r="P17" s="9">
        <v>10.682311086291694</v>
      </c>
    </row>
    <row r="18" spans="1:16">
      <c r="A18" s="26">
        <v>17</v>
      </c>
      <c r="B18" s="9">
        <v>9.1897902550073542</v>
      </c>
      <c r="C18" s="9">
        <v>9.1433588658107023</v>
      </c>
      <c r="D18" s="9">
        <v>9.2561906794548463</v>
      </c>
      <c r="E18" s="9">
        <v>9.0943680628140271</v>
      </c>
      <c r="F18" s="9">
        <v>9.1757741465940814</v>
      </c>
      <c r="G18" s="9">
        <v>9.0195969252933654</v>
      </c>
      <c r="H18" s="9">
        <v>8.7346320753893352</v>
      </c>
      <c r="I18" s="9">
        <v>9.0206756692061578</v>
      </c>
      <c r="J18" s="29">
        <v>9.6008016615627962</v>
      </c>
      <c r="K18" s="9">
        <v>9.6117823743673689</v>
      </c>
      <c r="L18" s="9">
        <v>10.365659409720616</v>
      </c>
      <c r="M18" s="9">
        <v>9.6003258009921328</v>
      </c>
      <c r="N18" s="9">
        <v>9.6766418207579967</v>
      </c>
      <c r="O18" s="9">
        <v>9.6681258095404043</v>
      </c>
      <c r="P18" s="9">
        <v>9.7528541682656602</v>
      </c>
    </row>
    <row r="19" spans="1:16">
      <c r="A19" s="26">
        <v>18</v>
      </c>
      <c r="B19" s="9">
        <v>8.7138878327052272</v>
      </c>
      <c r="C19" s="9">
        <v>8.0662196933861789</v>
      </c>
      <c r="D19" s="9">
        <v>8.1857364982898595</v>
      </c>
      <c r="E19" s="9">
        <v>8.1557902400144897</v>
      </c>
      <c r="F19" s="9">
        <v>8.5713314438010979</v>
      </c>
      <c r="G19" s="9">
        <v>8.9342606878829454</v>
      </c>
      <c r="H19" s="9">
        <v>9.3012153680948408</v>
      </c>
      <c r="I19" s="9">
        <v>9.5459449493908117</v>
      </c>
      <c r="J19" s="29">
        <v>9.5724759575348113</v>
      </c>
      <c r="K19" s="9">
        <v>9.4517350121160071</v>
      </c>
      <c r="L19" s="9">
        <v>10.240518340919165</v>
      </c>
      <c r="M19" s="9">
        <v>10.053338387539577</v>
      </c>
      <c r="N19" s="9">
        <v>9.2145146522377832</v>
      </c>
      <c r="O19" s="9">
        <v>10.051038980665663</v>
      </c>
      <c r="P19" s="9">
        <v>9.9571734636196183</v>
      </c>
    </row>
    <row r="20" spans="1:16">
      <c r="A20" s="26">
        <v>19</v>
      </c>
      <c r="B20" s="9">
        <v>8.2538649510239566</v>
      </c>
      <c r="C20" s="9">
        <v>7.9910921423836809</v>
      </c>
      <c r="D20" s="9">
        <v>7.839188161079087</v>
      </c>
      <c r="E20" s="9">
        <v>7.7595045143330452</v>
      </c>
      <c r="F20" s="9">
        <v>7.7365585293376871</v>
      </c>
      <c r="G20" s="9">
        <v>7.6227031009539177</v>
      </c>
      <c r="H20" s="9">
        <v>7.7725920282109495</v>
      </c>
      <c r="I20" s="9">
        <v>7.5658275192066959</v>
      </c>
      <c r="J20" s="29">
        <v>7.4657202595358383</v>
      </c>
      <c r="K20" s="9">
        <v>7.6771799490311032</v>
      </c>
      <c r="L20" s="9">
        <v>7.7538845869953592</v>
      </c>
      <c r="M20" s="9">
        <v>7.8497745066234499</v>
      </c>
      <c r="N20" s="9">
        <v>8.0966870644072788</v>
      </c>
      <c r="O20" s="9">
        <v>8.7555998058406139</v>
      </c>
      <c r="P20" s="9">
        <v>8.3316340642063835</v>
      </c>
    </row>
    <row r="21" spans="1:16">
      <c r="A21" s="26">
        <v>20</v>
      </c>
      <c r="B21" s="9">
        <v>8.9239807057423484</v>
      </c>
      <c r="C21" s="9">
        <v>8.6351982990502805</v>
      </c>
      <c r="D21" s="9">
        <v>8.6805959462948543</v>
      </c>
      <c r="E21" s="9">
        <v>9.3800240350271125</v>
      </c>
      <c r="F21" s="9">
        <v>9.5084839331321387</v>
      </c>
      <c r="G21" s="9">
        <v>10.288920290079972</v>
      </c>
      <c r="H21" s="9">
        <v>10.037249402620747</v>
      </c>
      <c r="I21" s="9">
        <v>9.7145524530069611</v>
      </c>
      <c r="J21" s="29">
        <v>10.077338689147771</v>
      </c>
      <c r="K21" s="9">
        <v>11.142345087710266</v>
      </c>
      <c r="L21" s="9">
        <v>11.127886171562572</v>
      </c>
      <c r="M21" s="9">
        <v>11.649165294242202</v>
      </c>
      <c r="N21" s="9">
        <v>11.652962900234908</v>
      </c>
      <c r="O21" s="9">
        <v>11.840248644955906</v>
      </c>
      <c r="P21" s="9">
        <v>12.413612735823904</v>
      </c>
    </row>
    <row r="22" spans="1:16">
      <c r="A22" s="26">
        <v>21</v>
      </c>
      <c r="B22" s="9">
        <v>8.6064978949078075</v>
      </c>
      <c r="C22" s="9">
        <v>8.6530329626742191</v>
      </c>
      <c r="D22" s="9">
        <v>8.9681374912998653</v>
      </c>
      <c r="E22" s="9">
        <v>9.0243688993538598</v>
      </c>
      <c r="F22" s="9">
        <v>8.9601953919794646</v>
      </c>
      <c r="G22" s="9">
        <v>8.9109864162279724</v>
      </c>
      <c r="H22" s="9">
        <v>8.3949635805760821</v>
      </c>
      <c r="I22" s="9">
        <v>8.5676270869386872</v>
      </c>
      <c r="J22" s="29">
        <v>8.122902503547822</v>
      </c>
      <c r="K22" s="9">
        <v>8.1340002915002341</v>
      </c>
      <c r="L22" s="9">
        <v>8.2508978607876937</v>
      </c>
      <c r="M22" s="9">
        <v>7.914431814895309</v>
      </c>
      <c r="N22" s="9">
        <v>7.7079771248139393</v>
      </c>
      <c r="O22" s="9">
        <v>7.770643329147056</v>
      </c>
      <c r="P22" s="9">
        <v>7.6800436255922389</v>
      </c>
    </row>
    <row r="23" spans="1:16">
      <c r="A23" s="26">
        <v>22</v>
      </c>
      <c r="B23" s="9">
        <v>8.6569402847482291</v>
      </c>
      <c r="C23" s="9">
        <v>8.6169921133201033</v>
      </c>
      <c r="D23" s="9">
        <v>9.0164741732462375</v>
      </c>
      <c r="E23" s="9">
        <v>9.1294812018408855</v>
      </c>
      <c r="F23" s="9">
        <v>8.6332983060130477</v>
      </c>
      <c r="G23" s="9">
        <v>8.9453562409057206</v>
      </c>
      <c r="H23" s="9">
        <v>9.4610490347980765</v>
      </c>
      <c r="I23" s="9">
        <v>10.317110127009556</v>
      </c>
      <c r="J23" s="29">
        <v>9.863853900070831</v>
      </c>
      <c r="K23" s="9">
        <v>9.5812795617829867</v>
      </c>
      <c r="L23" s="9">
        <v>9.7409988668113261</v>
      </c>
      <c r="M23" s="9">
        <v>9.0284405578226661</v>
      </c>
      <c r="N23" s="9">
        <v>8.9110097627821965</v>
      </c>
      <c r="O23" s="9">
        <v>8.6068007056938622</v>
      </c>
      <c r="P23" s="9">
        <v>8.5260618300318498</v>
      </c>
    </row>
    <row r="24" spans="1:16">
      <c r="A24" s="26">
        <v>23</v>
      </c>
      <c r="B24" s="9">
        <v>8.6821524047563639</v>
      </c>
      <c r="C24" s="9">
        <v>8.3148806413184104</v>
      </c>
      <c r="D24" s="9">
        <v>7.9405793546182935</v>
      </c>
      <c r="E24" s="9">
        <v>7.94934245857461</v>
      </c>
      <c r="F24" s="9">
        <v>7.618261447583909</v>
      </c>
      <c r="G24" s="9">
        <v>7.9088632598550364</v>
      </c>
      <c r="H24" s="9">
        <v>7.9371677941185785</v>
      </c>
      <c r="I24" s="9">
        <v>8.2047862862429408</v>
      </c>
      <c r="J24" s="29">
        <v>8.4105335553000931</v>
      </c>
      <c r="K24" s="9">
        <v>8.7001168438245493</v>
      </c>
      <c r="L24" s="9">
        <v>8.4905623199507563</v>
      </c>
      <c r="M24" s="9">
        <v>8.5271196656206865</v>
      </c>
      <c r="N24" s="9">
        <v>8.0605790853851271</v>
      </c>
      <c r="O24" s="9">
        <v>7.9972525642347545</v>
      </c>
      <c r="P24" s="9">
        <v>7.7859957503117156</v>
      </c>
    </row>
    <row r="25" spans="1:16">
      <c r="A25" s="26">
        <v>24</v>
      </c>
      <c r="B25" s="9">
        <v>8.4222477377104052</v>
      </c>
      <c r="C25" s="9">
        <v>8.269840001869202</v>
      </c>
      <c r="D25" s="9">
        <v>8.3402726195283279</v>
      </c>
      <c r="E25" s="9">
        <v>7.8050621617416676</v>
      </c>
      <c r="F25" s="9">
        <v>7.5302325177479856</v>
      </c>
      <c r="G25" s="9">
        <v>7.6433715077374185</v>
      </c>
      <c r="H25" s="9">
        <v>7.808105810114224</v>
      </c>
      <c r="I25" s="9">
        <v>7.8946498382809844</v>
      </c>
      <c r="J25" s="29">
        <v>7.6989133387499606</v>
      </c>
      <c r="K25" s="9">
        <v>7.4688663776982152</v>
      </c>
      <c r="L25" s="9">
        <v>7.8061977802359968</v>
      </c>
      <c r="M25" s="9">
        <v>8.2706610390264927</v>
      </c>
      <c r="N25" s="9">
        <v>7.8596136194502364</v>
      </c>
      <c r="O25" s="9">
        <v>8.4199810450815136</v>
      </c>
      <c r="P25" s="9">
        <v>8.3355130048710926</v>
      </c>
    </row>
    <row r="26" spans="1:16">
      <c r="A26" s="26">
        <v>25</v>
      </c>
      <c r="B26" s="9">
        <v>8.5435399787939197</v>
      </c>
      <c r="C26" s="9">
        <v>8.7028558104959561</v>
      </c>
      <c r="D26" s="9">
        <v>8.67063014183287</v>
      </c>
      <c r="E26" s="9">
        <v>8.6063274412257673</v>
      </c>
      <c r="F26" s="9">
        <v>8.3020380823765816</v>
      </c>
      <c r="G26" s="9">
        <v>8.2224872886047979</v>
      </c>
      <c r="H26" s="9">
        <v>7.7967079142691595</v>
      </c>
      <c r="I26" s="9">
        <v>7.7434978151872063</v>
      </c>
      <c r="J26" s="29">
        <v>7.6769469608617085</v>
      </c>
      <c r="K26" s="9">
        <v>7.4187954554616704</v>
      </c>
      <c r="L26" s="9">
        <v>7.3610433166431219</v>
      </c>
      <c r="M26" s="9">
        <v>7.5956650504691874</v>
      </c>
      <c r="N26" s="9">
        <v>7.1876543924192502</v>
      </c>
      <c r="O26" s="9">
        <v>6.9621937241694107</v>
      </c>
      <c r="P26" s="9">
        <v>7.0144620353949421</v>
      </c>
    </row>
    <row r="27" spans="1:16">
      <c r="A27" s="26">
        <v>26</v>
      </c>
      <c r="B27" s="9">
        <v>8.2648910991210958</v>
      </c>
      <c r="C27" s="9">
        <v>8.6360972072618747</v>
      </c>
      <c r="D27" s="9">
        <v>8.2065938134335816</v>
      </c>
      <c r="E27" s="9">
        <v>7.9066272301226741</v>
      </c>
      <c r="F27" s="9">
        <v>8.1594644724719885</v>
      </c>
      <c r="G27" s="9">
        <v>8.2639212204628105</v>
      </c>
      <c r="H27" s="9">
        <v>7.6289105127667254</v>
      </c>
      <c r="I27" s="9">
        <v>7.4916988036277239</v>
      </c>
      <c r="J27" s="29">
        <v>7.7406339467022551</v>
      </c>
      <c r="K27" s="9">
        <v>7.8705327600990165</v>
      </c>
      <c r="L27" s="9">
        <v>7.9384499438376075</v>
      </c>
      <c r="M27" s="9">
        <v>8.3247221398146802</v>
      </c>
      <c r="N27" s="9">
        <v>8.8359696291869039</v>
      </c>
      <c r="O27" s="9">
        <v>8.9449361286249758</v>
      </c>
      <c r="P27" s="9">
        <v>8.5307369579291628</v>
      </c>
    </row>
    <row r="28" spans="1:16">
      <c r="A28" s="26">
        <v>27</v>
      </c>
      <c r="B28" s="9">
        <v>8.7644027635632433</v>
      </c>
      <c r="C28" s="9">
        <v>8.8018743301077453</v>
      </c>
      <c r="D28" s="9">
        <v>8.8000269511265206</v>
      </c>
      <c r="E28" s="9">
        <v>8.9744151595029482</v>
      </c>
      <c r="F28" s="9">
        <v>8.8003274573871373</v>
      </c>
      <c r="G28" s="9">
        <v>8.9808540390679763</v>
      </c>
      <c r="H28" s="9">
        <v>9.6283217126584439</v>
      </c>
      <c r="I28" s="9">
        <v>9.9412737826568645</v>
      </c>
      <c r="J28" s="29">
        <v>9.691342783474413</v>
      </c>
      <c r="K28" s="9">
        <v>9.4598590913772505</v>
      </c>
      <c r="L28" s="9">
        <v>8.6174784883284872</v>
      </c>
      <c r="M28" s="9">
        <v>8.9728908941277563</v>
      </c>
      <c r="N28" s="9">
        <v>8.4446260761607643</v>
      </c>
      <c r="O28" s="9">
        <v>8.3640207110162983</v>
      </c>
      <c r="P28" s="9">
        <v>8.2546317970519727</v>
      </c>
    </row>
    <row r="29" spans="1:16">
      <c r="A29" s="26">
        <v>28</v>
      </c>
      <c r="B29" s="9">
        <v>8.3772983760002049</v>
      </c>
      <c r="C29" s="9">
        <v>8.1344796914324942</v>
      </c>
      <c r="D29" s="9">
        <v>8.3352830817301573</v>
      </c>
      <c r="E29" s="9">
        <v>8.0515442843860363</v>
      </c>
      <c r="F29" s="9">
        <v>7.7583453496868175</v>
      </c>
      <c r="G29" s="9">
        <v>7.8559032493976009</v>
      </c>
      <c r="H29" s="9">
        <v>7.6513858508184276</v>
      </c>
      <c r="I29" s="9">
        <v>7.4790682232442602</v>
      </c>
      <c r="J29" s="29">
        <v>7.3929916171690868</v>
      </c>
      <c r="K29" s="9">
        <v>7.7031565633281067</v>
      </c>
      <c r="L29" s="9">
        <v>7.435168805096751</v>
      </c>
      <c r="M29" s="9">
        <v>7.4890387228760069</v>
      </c>
      <c r="N29" s="9">
        <v>8.1008492543469615</v>
      </c>
      <c r="O29" s="9">
        <v>8.0986782246442548</v>
      </c>
      <c r="P29" s="9">
        <v>8.0131542316783051</v>
      </c>
    </row>
    <row r="30" spans="1:16">
      <c r="A30" s="26">
        <v>29</v>
      </c>
      <c r="B30" s="9">
        <v>9.1867899645067261</v>
      </c>
      <c r="C30" s="9">
        <v>9.6841480162252207</v>
      </c>
      <c r="D30" s="9">
        <v>9.7267521253405924</v>
      </c>
      <c r="E30" s="9">
        <v>9.4583112357395169</v>
      </c>
      <c r="F30" s="9">
        <v>8.8941690202406782</v>
      </c>
      <c r="G30" s="9">
        <v>8.415279694060489</v>
      </c>
      <c r="H30" s="9">
        <v>8.8640436783016856</v>
      </c>
      <c r="I30" s="9">
        <v>9.0823666968374397</v>
      </c>
      <c r="J30" s="29">
        <v>8.9204109515297745</v>
      </c>
      <c r="K30" s="9">
        <v>8.9401385534214786</v>
      </c>
      <c r="L30" s="9">
        <v>9.295180198648314</v>
      </c>
      <c r="M30" s="9">
        <v>9.2409575026557356</v>
      </c>
      <c r="N30" s="9">
        <v>8.5457165220437226</v>
      </c>
      <c r="O30" s="9">
        <v>8.6597824960349126</v>
      </c>
      <c r="P30" s="9">
        <v>8.9519662684971415</v>
      </c>
    </row>
    <row r="31" spans="1:16">
      <c r="A31" s="26">
        <v>30</v>
      </c>
      <c r="B31" s="9">
        <v>8.269507427026916</v>
      </c>
      <c r="C31" s="9">
        <v>8.2041032289514746</v>
      </c>
      <c r="D31" s="9">
        <v>8.1669459890490383</v>
      </c>
      <c r="E31" s="9">
        <v>8.1044662620256531</v>
      </c>
      <c r="F31" s="9">
        <v>8.2988027098875961</v>
      </c>
      <c r="G31" s="9">
        <v>8.6592011542516829</v>
      </c>
      <c r="H31" s="9">
        <v>8.6525372076901785</v>
      </c>
      <c r="I31" s="9">
        <v>8.7841345607285461</v>
      </c>
      <c r="J31" s="29">
        <v>8.8105583729171304</v>
      </c>
      <c r="K31" s="9">
        <v>8.4337624862609708</v>
      </c>
      <c r="L31" s="9">
        <v>8.4367225130507393</v>
      </c>
      <c r="M31" s="9">
        <v>8.7782333625122053</v>
      </c>
      <c r="N31" s="9">
        <v>8.6776051538784262</v>
      </c>
      <c r="O31" s="9">
        <v>9.0533181498735669</v>
      </c>
      <c r="P31" s="9">
        <v>9.6216968172131789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21.945879664229743</v>
      </c>
      <c r="C2" s="9">
        <v>21.868537983830869</v>
      </c>
      <c r="D2" s="9">
        <v>22.60219276165752</v>
      </c>
      <c r="E2" s="9">
        <v>22.185324985882758</v>
      </c>
      <c r="F2" s="9">
        <v>22.692288882513232</v>
      </c>
      <c r="G2" s="9">
        <v>22.172797836635162</v>
      </c>
      <c r="H2" s="9">
        <v>21.90063896464914</v>
      </c>
      <c r="I2" s="9">
        <v>21.657025370995758</v>
      </c>
      <c r="J2" s="29">
        <v>22.467968916639311</v>
      </c>
      <c r="K2" s="9">
        <v>22.804530968353205</v>
      </c>
      <c r="L2" s="9">
        <v>23.237955673528521</v>
      </c>
      <c r="M2" s="9">
        <v>23.513902160083354</v>
      </c>
      <c r="N2" s="9">
        <v>23.293893991364207</v>
      </c>
      <c r="O2" s="9">
        <v>23.153331697763505</v>
      </c>
      <c r="P2" s="9">
        <v>23.085497349220944</v>
      </c>
    </row>
    <row r="3" spans="1:16">
      <c r="A3" s="26">
        <v>2</v>
      </c>
      <c r="B3" s="9">
        <v>21.766247905545089</v>
      </c>
      <c r="C3" s="9">
        <v>22.156536306202</v>
      </c>
      <c r="D3" s="9">
        <v>23.129617015711673</v>
      </c>
      <c r="E3" s="9">
        <v>23.357665331017241</v>
      </c>
      <c r="F3" s="9">
        <v>23.483506940734106</v>
      </c>
      <c r="G3" s="9">
        <v>23.163761374377998</v>
      </c>
      <c r="H3" s="9">
        <v>23.040039403060941</v>
      </c>
      <c r="I3" s="9">
        <v>23.873114426454624</v>
      </c>
      <c r="J3" s="29">
        <v>24.165283824847283</v>
      </c>
      <c r="K3" s="9">
        <v>24.678991310644641</v>
      </c>
      <c r="L3" s="9">
        <v>24.762001671413426</v>
      </c>
      <c r="M3" s="9">
        <v>24.549696882854324</v>
      </c>
      <c r="N3" s="9">
        <v>24.646540544722441</v>
      </c>
      <c r="O3" s="9">
        <v>25.253726245588151</v>
      </c>
      <c r="P3" s="9">
        <v>26.053981165864393</v>
      </c>
    </row>
    <row r="4" spans="1:16">
      <c r="A4" s="26">
        <v>3</v>
      </c>
      <c r="B4" s="9">
        <v>22.450401873761525</v>
      </c>
      <c r="C4" s="9">
        <v>22.244025401311639</v>
      </c>
      <c r="D4" s="9">
        <v>22.438567733248103</v>
      </c>
      <c r="E4" s="9">
        <v>22.755771958526623</v>
      </c>
      <c r="F4" s="9">
        <v>23.20567939202698</v>
      </c>
      <c r="G4" s="9">
        <v>23.115053889385603</v>
      </c>
      <c r="H4" s="9">
        <v>23.501637930288965</v>
      </c>
      <c r="I4" s="9">
        <v>23.991584806989056</v>
      </c>
      <c r="J4" s="29">
        <v>24.516696225063232</v>
      </c>
      <c r="K4" s="9">
        <v>24.466104936042264</v>
      </c>
      <c r="L4" s="9">
        <v>23.962354830690217</v>
      </c>
      <c r="M4" s="9">
        <v>24.869471011518716</v>
      </c>
      <c r="N4" s="9">
        <v>25.164160986433707</v>
      </c>
      <c r="O4" s="9">
        <v>24.672857687670604</v>
      </c>
      <c r="P4" s="9">
        <v>24.659911434442197</v>
      </c>
    </row>
    <row r="5" spans="1:16">
      <c r="A5" s="26">
        <v>4</v>
      </c>
      <c r="B5" s="9">
        <v>22.266989975474349</v>
      </c>
      <c r="C5" s="9">
        <v>22.316778272892272</v>
      </c>
      <c r="D5" s="9">
        <v>22.451667888325993</v>
      </c>
      <c r="E5" s="9">
        <v>22.494363669682059</v>
      </c>
      <c r="F5" s="9">
        <v>23.470597655283903</v>
      </c>
      <c r="G5" s="9">
        <v>23.511073502911756</v>
      </c>
      <c r="H5" s="9">
        <v>24.065435707377596</v>
      </c>
      <c r="I5" s="9">
        <v>24.354545146063728</v>
      </c>
      <c r="J5" s="29">
        <v>24.433735735851695</v>
      </c>
      <c r="K5" s="9">
        <v>24.128467121674333</v>
      </c>
      <c r="L5" s="9">
        <v>23.931486961747694</v>
      </c>
      <c r="M5" s="9">
        <v>23.862236849987852</v>
      </c>
      <c r="N5" s="9">
        <v>23.506621204378277</v>
      </c>
      <c r="O5" s="9">
        <v>23.485837782867417</v>
      </c>
      <c r="P5" s="9">
        <v>23.283792841539309</v>
      </c>
    </row>
    <row r="6" spans="1:16">
      <c r="A6" s="26">
        <v>5</v>
      </c>
      <c r="B6" s="9">
        <v>21.766242706889884</v>
      </c>
      <c r="C6" s="9">
        <v>21.589083471822764</v>
      </c>
      <c r="D6" s="9">
        <v>21.801623966153283</v>
      </c>
      <c r="E6" s="9">
        <v>21.824622021410811</v>
      </c>
      <c r="F6" s="9">
        <v>21.949295044992095</v>
      </c>
      <c r="G6" s="9">
        <v>21.974933765058914</v>
      </c>
      <c r="H6" s="9">
        <v>21.820540437586246</v>
      </c>
      <c r="I6" s="9">
        <v>21.348913783750877</v>
      </c>
      <c r="J6" s="29">
        <v>21.279437250748082</v>
      </c>
      <c r="K6" s="9">
        <v>21.572908115536585</v>
      </c>
      <c r="L6" s="9">
        <v>20.958382747885679</v>
      </c>
      <c r="M6" s="9">
        <v>21.2117813885197</v>
      </c>
      <c r="N6" s="9">
        <v>21.82065174887239</v>
      </c>
      <c r="O6" s="9">
        <v>22.309094679250116</v>
      </c>
      <c r="P6" s="9">
        <v>22.18568665635669</v>
      </c>
    </row>
    <row r="7" spans="1:16">
      <c r="A7" s="26">
        <v>6</v>
      </c>
      <c r="B7" s="9">
        <v>22.177531985911024</v>
      </c>
      <c r="C7" s="9">
        <v>22.746394461823471</v>
      </c>
      <c r="D7" s="9">
        <v>22.311461823059137</v>
      </c>
      <c r="E7" s="9">
        <v>22.246458137610873</v>
      </c>
      <c r="F7" s="9">
        <v>21.765278692063312</v>
      </c>
      <c r="G7" s="9">
        <v>22.282899957808777</v>
      </c>
      <c r="H7" s="9">
        <v>22.230057873958458</v>
      </c>
      <c r="I7" s="9">
        <v>22.298078250279104</v>
      </c>
      <c r="J7" s="29">
        <v>22.847192081132217</v>
      </c>
      <c r="K7" s="9">
        <v>23.101171376762714</v>
      </c>
      <c r="L7" s="9">
        <v>22.955567745845162</v>
      </c>
      <c r="M7" s="9">
        <v>23.436376244725391</v>
      </c>
      <c r="N7" s="9">
        <v>23.440190907530713</v>
      </c>
      <c r="O7" s="9">
        <v>24.04331539062488</v>
      </c>
      <c r="P7" s="9">
        <v>24.537286541964356</v>
      </c>
    </row>
    <row r="8" spans="1:16">
      <c r="A8" s="26">
        <v>7</v>
      </c>
      <c r="B8" s="9">
        <v>21.7469851099812</v>
      </c>
      <c r="C8" s="9">
        <v>21.956355092018985</v>
      </c>
      <c r="D8" s="9">
        <v>21.708331673913904</v>
      </c>
      <c r="E8" s="9">
        <v>22.013440282154171</v>
      </c>
      <c r="F8" s="9">
        <v>22.240512680196961</v>
      </c>
      <c r="G8" s="9">
        <v>21.722097130999991</v>
      </c>
      <c r="H8" s="9">
        <v>22.259636378586919</v>
      </c>
      <c r="I8" s="9">
        <v>21.85699174678831</v>
      </c>
      <c r="J8" s="29">
        <v>22.050362896889901</v>
      </c>
      <c r="K8" s="9">
        <v>22.64485403665994</v>
      </c>
      <c r="L8" s="9">
        <v>22.618304223700736</v>
      </c>
      <c r="M8" s="9">
        <v>22.86717866649639</v>
      </c>
      <c r="N8" s="9">
        <v>22.580645280421813</v>
      </c>
      <c r="O8" s="9">
        <v>22.326319667721343</v>
      </c>
      <c r="P8" s="9">
        <v>22.807586508527734</v>
      </c>
    </row>
    <row r="9" spans="1:16">
      <c r="A9" s="26">
        <v>8</v>
      </c>
      <c r="B9" s="9">
        <v>21.483003931742946</v>
      </c>
      <c r="C9" s="9">
        <v>21.459692859887426</v>
      </c>
      <c r="D9" s="9">
        <v>21.340613844670635</v>
      </c>
      <c r="E9" s="9">
        <v>21.138140445854482</v>
      </c>
      <c r="F9" s="9">
        <v>21.069659147299038</v>
      </c>
      <c r="G9" s="9">
        <v>21.648249291657542</v>
      </c>
      <c r="H9" s="9">
        <v>22.166955728270004</v>
      </c>
      <c r="I9" s="9">
        <v>22.432828694768389</v>
      </c>
      <c r="J9" s="29">
        <v>22.361772875698595</v>
      </c>
      <c r="K9" s="9">
        <v>22.820983467424441</v>
      </c>
      <c r="L9" s="9">
        <v>22.960556358089956</v>
      </c>
      <c r="M9" s="9">
        <v>22.782515267878907</v>
      </c>
      <c r="N9" s="9">
        <v>22.330329174675107</v>
      </c>
      <c r="O9" s="9">
        <v>22.998805835931368</v>
      </c>
      <c r="P9" s="9">
        <v>23.693705589862954</v>
      </c>
    </row>
    <row r="10" spans="1:16">
      <c r="A10" s="26">
        <v>9</v>
      </c>
      <c r="B10" s="9">
        <v>21.283381781371819</v>
      </c>
      <c r="C10" s="9">
        <v>21.27521555731364</v>
      </c>
      <c r="D10" s="9">
        <v>20.598483855621193</v>
      </c>
      <c r="E10" s="9">
        <v>20.075565230771023</v>
      </c>
      <c r="F10" s="9">
        <v>19.958753034013736</v>
      </c>
      <c r="G10" s="9">
        <v>19.800686389622385</v>
      </c>
      <c r="H10" s="9">
        <v>19.816919853663126</v>
      </c>
      <c r="I10" s="9">
        <v>20.181556039128324</v>
      </c>
      <c r="J10" s="29">
        <v>20.322012067048558</v>
      </c>
      <c r="K10" s="9">
        <v>20.146056214913713</v>
      </c>
      <c r="L10" s="9">
        <v>20.578242628630008</v>
      </c>
      <c r="M10" s="9">
        <v>20.596945687240247</v>
      </c>
      <c r="N10" s="9">
        <v>21.143215112526875</v>
      </c>
      <c r="O10" s="9">
        <v>21.865335488341756</v>
      </c>
      <c r="P10" s="9">
        <v>21.875507705951151</v>
      </c>
    </row>
    <row r="11" spans="1:16">
      <c r="A11" s="26">
        <v>10</v>
      </c>
      <c r="B11" s="9">
        <v>21.82191634398778</v>
      </c>
      <c r="C11" s="9">
        <v>22.348298125631871</v>
      </c>
      <c r="D11" s="9">
        <v>22.046173094555968</v>
      </c>
      <c r="E11" s="9">
        <v>22.627302624480041</v>
      </c>
      <c r="F11" s="9">
        <v>22.924533720506197</v>
      </c>
      <c r="G11" s="9">
        <v>22.37700339147348</v>
      </c>
      <c r="H11" s="9">
        <v>22.577082742063364</v>
      </c>
      <c r="I11" s="9">
        <v>22.637127286516836</v>
      </c>
      <c r="J11" s="29">
        <v>21.971628721851058</v>
      </c>
      <c r="K11" s="9">
        <v>22.573881994187474</v>
      </c>
      <c r="L11" s="9">
        <v>22.069905508617865</v>
      </c>
      <c r="M11" s="9">
        <v>22.047770311089863</v>
      </c>
      <c r="N11" s="9">
        <v>21.882441203316475</v>
      </c>
      <c r="O11" s="9">
        <v>22.082652775497067</v>
      </c>
      <c r="P11" s="9">
        <v>21.62185347657568</v>
      </c>
    </row>
    <row r="12" spans="1:16">
      <c r="A12" s="26">
        <v>11</v>
      </c>
      <c r="B12" s="9">
        <v>22.31854769551645</v>
      </c>
      <c r="C12" s="9">
        <v>22.508084830474726</v>
      </c>
      <c r="D12" s="9">
        <v>22.531044428299388</v>
      </c>
      <c r="E12" s="9">
        <v>21.955964473519543</v>
      </c>
      <c r="F12" s="9">
        <v>21.960229119848819</v>
      </c>
      <c r="G12" s="9">
        <v>22.366661059341869</v>
      </c>
      <c r="H12" s="9">
        <v>22.121454630008586</v>
      </c>
      <c r="I12" s="9">
        <v>21.307687846951936</v>
      </c>
      <c r="J12" s="29">
        <v>21.851207931445984</v>
      </c>
      <c r="K12" s="9">
        <v>22.328482580609506</v>
      </c>
      <c r="L12" s="9">
        <v>22.639884825532203</v>
      </c>
      <c r="M12" s="9">
        <v>23.004209833854368</v>
      </c>
      <c r="N12" s="9">
        <v>23.142049593363645</v>
      </c>
      <c r="O12" s="9">
        <v>22.760891571414639</v>
      </c>
      <c r="P12" s="9">
        <v>22.751808096662909</v>
      </c>
    </row>
    <row r="13" spans="1:16">
      <c r="A13" s="26">
        <v>12</v>
      </c>
      <c r="B13" s="9">
        <v>21.793954245563857</v>
      </c>
      <c r="C13" s="9">
        <v>22.48060786996184</v>
      </c>
      <c r="D13" s="9">
        <v>22.633127340904245</v>
      </c>
      <c r="E13" s="9">
        <v>22.695647301435269</v>
      </c>
      <c r="F13" s="9">
        <v>22.681551497625719</v>
      </c>
      <c r="G13" s="9">
        <v>22.072988313312273</v>
      </c>
      <c r="H13" s="9">
        <v>22.810684117037049</v>
      </c>
      <c r="I13" s="9">
        <v>22.947838449243793</v>
      </c>
      <c r="J13" s="29">
        <v>22.997549970657779</v>
      </c>
      <c r="K13" s="9">
        <v>22.657748593491842</v>
      </c>
      <c r="L13" s="9">
        <v>22.955802257881835</v>
      </c>
      <c r="M13" s="9">
        <v>23.535068947326469</v>
      </c>
      <c r="N13" s="9">
        <v>23.676516538300103</v>
      </c>
      <c r="O13" s="9">
        <v>23.235006868449453</v>
      </c>
      <c r="P13" s="9">
        <v>23.280742002698293</v>
      </c>
    </row>
    <row r="14" spans="1:16">
      <c r="A14" s="26">
        <v>13</v>
      </c>
      <c r="B14" s="9">
        <v>21.720817552202529</v>
      </c>
      <c r="C14" s="9">
        <v>21.837685561479272</v>
      </c>
      <c r="D14" s="9">
        <v>21.995743345750999</v>
      </c>
      <c r="E14" s="9">
        <v>22.349867073060413</v>
      </c>
      <c r="F14" s="9">
        <v>22.127238640704793</v>
      </c>
      <c r="G14" s="9">
        <v>21.800350126347773</v>
      </c>
      <c r="H14" s="9">
        <v>21.650292031758102</v>
      </c>
      <c r="I14" s="9">
        <v>21.860373052181679</v>
      </c>
      <c r="J14" s="29">
        <v>22.026203444958711</v>
      </c>
      <c r="K14" s="9">
        <v>21.594052200672085</v>
      </c>
      <c r="L14" s="9">
        <v>21.425465362200779</v>
      </c>
      <c r="M14" s="9">
        <v>22.406162889817303</v>
      </c>
      <c r="N14" s="9">
        <v>22.123708773354689</v>
      </c>
      <c r="O14" s="9">
        <v>22.522265315316471</v>
      </c>
      <c r="P14" s="9">
        <v>22.607116396280698</v>
      </c>
    </row>
    <row r="15" spans="1:16">
      <c r="A15" s="26">
        <v>14</v>
      </c>
      <c r="B15" s="9">
        <v>21.98185586172448</v>
      </c>
      <c r="C15" s="9">
        <v>21.911663281206568</v>
      </c>
      <c r="D15" s="9">
        <v>22.318034549547303</v>
      </c>
      <c r="E15" s="9">
        <v>22.697867386281001</v>
      </c>
      <c r="F15" s="9">
        <v>23.275078714465224</v>
      </c>
      <c r="G15" s="9">
        <v>23.564874133260705</v>
      </c>
      <c r="H15" s="9">
        <v>22.805050797824563</v>
      </c>
      <c r="I15" s="9">
        <v>23.360793367843129</v>
      </c>
      <c r="J15" s="29">
        <v>23.060678790164271</v>
      </c>
      <c r="K15" s="9">
        <v>22.604228699954167</v>
      </c>
      <c r="L15" s="9">
        <v>22.675131427206143</v>
      </c>
      <c r="M15" s="9">
        <v>22.805520802229367</v>
      </c>
      <c r="N15" s="9">
        <v>23.248674379456144</v>
      </c>
      <c r="O15" s="9">
        <v>23.187114521281845</v>
      </c>
      <c r="P15" s="9">
        <v>22.964412433685663</v>
      </c>
    </row>
    <row r="16" spans="1:16">
      <c r="A16" s="26">
        <v>15</v>
      </c>
      <c r="B16" s="9">
        <v>21.744550037830884</v>
      </c>
      <c r="C16" s="9">
        <v>22.283364881683898</v>
      </c>
      <c r="D16" s="9">
        <v>21.713549486109933</v>
      </c>
      <c r="E16" s="9">
        <v>22.17510521916946</v>
      </c>
      <c r="F16" s="9">
        <v>21.873099765935788</v>
      </c>
      <c r="G16" s="9">
        <v>21.727765646499403</v>
      </c>
      <c r="H16" s="9">
        <v>21.649740963449034</v>
      </c>
      <c r="I16" s="9">
        <v>21.564248744993389</v>
      </c>
      <c r="J16" s="29">
        <v>21.327225088106594</v>
      </c>
      <c r="K16" s="9">
        <v>21.164305523618058</v>
      </c>
      <c r="L16" s="9">
        <v>21.550149865999035</v>
      </c>
      <c r="M16" s="9">
        <v>22.330070898027447</v>
      </c>
      <c r="N16" s="9">
        <v>23.554589285280045</v>
      </c>
      <c r="O16" s="9">
        <v>23.669166475288268</v>
      </c>
      <c r="P16" s="9">
        <v>23.358130602108183</v>
      </c>
    </row>
    <row r="17" spans="1:16">
      <c r="A17" s="26">
        <v>16</v>
      </c>
      <c r="B17" s="9">
        <v>21.841034432449149</v>
      </c>
      <c r="C17" s="9">
        <v>21.691332497577037</v>
      </c>
      <c r="D17" s="9">
        <v>21.699234354303837</v>
      </c>
      <c r="E17" s="9">
        <v>21.488849485862062</v>
      </c>
      <c r="F17" s="9">
        <v>21.492614628214763</v>
      </c>
      <c r="G17" s="9">
        <v>21.980101665029892</v>
      </c>
      <c r="H17" s="9">
        <v>22.181256498645123</v>
      </c>
      <c r="I17" s="9">
        <v>22.054415655465828</v>
      </c>
      <c r="J17" s="29">
        <v>22.2576863955147</v>
      </c>
      <c r="K17" s="9">
        <v>22.063021642121608</v>
      </c>
      <c r="L17" s="9">
        <v>22.550050451700539</v>
      </c>
      <c r="M17" s="9">
        <v>22.611341047061494</v>
      </c>
      <c r="N17" s="9">
        <v>22.075845633398462</v>
      </c>
      <c r="O17" s="9">
        <v>22.010125610408341</v>
      </c>
      <c r="P17" s="9">
        <v>22.51484782053025</v>
      </c>
    </row>
    <row r="18" spans="1:16">
      <c r="A18" s="26">
        <v>17</v>
      </c>
      <c r="B18" s="9">
        <v>21.348086290021996</v>
      </c>
      <c r="C18" s="9">
        <v>21.202321549387026</v>
      </c>
      <c r="D18" s="9">
        <v>20.716797593820584</v>
      </c>
      <c r="E18" s="9">
        <v>20.783343891832384</v>
      </c>
      <c r="F18" s="9">
        <v>20.981999371793847</v>
      </c>
      <c r="G18" s="9">
        <v>20.779206307459088</v>
      </c>
      <c r="H18" s="9">
        <v>20.760997676165246</v>
      </c>
      <c r="I18" s="9">
        <v>20.96360793777378</v>
      </c>
      <c r="J18" s="29">
        <v>20.511419837038648</v>
      </c>
      <c r="K18" s="9">
        <v>20.080663092369075</v>
      </c>
      <c r="L18" s="9">
        <v>20.623858356734242</v>
      </c>
      <c r="M18" s="9">
        <v>20.968660444295725</v>
      </c>
      <c r="N18" s="9">
        <v>20.555442307834319</v>
      </c>
      <c r="O18" s="9">
        <v>20.117569001657785</v>
      </c>
      <c r="P18" s="9">
        <v>20.107579685936955</v>
      </c>
    </row>
    <row r="19" spans="1:16">
      <c r="A19" s="26">
        <v>18</v>
      </c>
      <c r="B19" s="9">
        <v>21.983769684919093</v>
      </c>
      <c r="C19" s="9">
        <v>21.727051209006014</v>
      </c>
      <c r="D19" s="9">
        <v>21.637845216765793</v>
      </c>
      <c r="E19" s="9">
        <v>22.173186765521947</v>
      </c>
      <c r="F19" s="9">
        <v>22.324357201080055</v>
      </c>
      <c r="G19" s="9">
        <v>22.129981833945269</v>
      </c>
      <c r="H19" s="9">
        <v>22.376303993351627</v>
      </c>
      <c r="I19" s="9">
        <v>22.342253361190497</v>
      </c>
      <c r="J19" s="29">
        <v>23.420558176380403</v>
      </c>
      <c r="K19" s="9">
        <v>23.634361315553026</v>
      </c>
      <c r="L19" s="9">
        <v>23.692285820669969</v>
      </c>
      <c r="M19" s="9">
        <v>24.498961257403788</v>
      </c>
      <c r="N19" s="9">
        <v>25.031766041023801</v>
      </c>
      <c r="O19" s="9">
        <v>25.297337854207008</v>
      </c>
      <c r="P19" s="9">
        <v>25.282622723939514</v>
      </c>
    </row>
    <row r="20" spans="1:16">
      <c r="A20" s="26">
        <v>19</v>
      </c>
      <c r="B20" s="9">
        <v>21.682751087606103</v>
      </c>
      <c r="C20" s="9">
        <v>21.631000499839878</v>
      </c>
      <c r="D20" s="9">
        <v>21.831802165261223</v>
      </c>
      <c r="E20" s="9">
        <v>22.30474242344874</v>
      </c>
      <c r="F20" s="9">
        <v>22.652151622199053</v>
      </c>
      <c r="G20" s="9">
        <v>22.762835155257697</v>
      </c>
      <c r="H20" s="9">
        <v>23.133122449025617</v>
      </c>
      <c r="I20" s="9">
        <v>23.286433230190291</v>
      </c>
      <c r="J20" s="29">
        <v>24.041794402505516</v>
      </c>
      <c r="K20" s="9">
        <v>24.152524298287126</v>
      </c>
      <c r="L20" s="9">
        <v>23.982291916783993</v>
      </c>
      <c r="M20" s="9">
        <v>24.482468544029611</v>
      </c>
      <c r="N20" s="9">
        <v>24.924779041450975</v>
      </c>
      <c r="O20" s="9">
        <v>24.847320224497363</v>
      </c>
      <c r="P20" s="9">
        <v>24.606923203364179</v>
      </c>
    </row>
    <row r="21" spans="1:16">
      <c r="A21" s="26">
        <v>20</v>
      </c>
      <c r="B21" s="9">
        <v>22.435417105885069</v>
      </c>
      <c r="C21" s="9">
        <v>21.442984016853483</v>
      </c>
      <c r="D21" s="9">
        <v>21.558838228136509</v>
      </c>
      <c r="E21" s="9">
        <v>21.571286631267125</v>
      </c>
      <c r="F21" s="9">
        <v>21.229382217137793</v>
      </c>
      <c r="G21" s="9">
        <v>21.442945625216492</v>
      </c>
      <c r="H21" s="9">
        <v>21.755952143817613</v>
      </c>
      <c r="I21" s="9">
        <v>21.992299643111522</v>
      </c>
      <c r="J21" s="29">
        <v>22.578692693998068</v>
      </c>
      <c r="K21" s="9">
        <v>22.467542205044733</v>
      </c>
      <c r="L21" s="9">
        <v>22.410176821689532</v>
      </c>
      <c r="M21" s="9">
        <v>22.797129226489908</v>
      </c>
      <c r="N21" s="9">
        <v>22.732981275540073</v>
      </c>
      <c r="O21" s="9">
        <v>22.010655968159966</v>
      </c>
      <c r="P21" s="9">
        <v>21.804820378039871</v>
      </c>
    </row>
    <row r="22" spans="1:16">
      <c r="A22" s="26">
        <v>21</v>
      </c>
      <c r="B22" s="9">
        <v>22.088693706812116</v>
      </c>
      <c r="C22" s="9">
        <v>22.448447731110331</v>
      </c>
      <c r="D22" s="9">
        <v>22.649959107921049</v>
      </c>
      <c r="E22" s="9">
        <v>22.71638395885444</v>
      </c>
      <c r="F22" s="9">
        <v>22.637904013015429</v>
      </c>
      <c r="G22" s="9">
        <v>22.851954604535589</v>
      </c>
      <c r="H22" s="9">
        <v>22.594462975703962</v>
      </c>
      <c r="I22" s="9">
        <v>22.861160321284576</v>
      </c>
      <c r="J22" s="29">
        <v>23.397528323654882</v>
      </c>
      <c r="K22" s="9">
        <v>23.618987231294813</v>
      </c>
      <c r="L22" s="9">
        <v>24.040521571571038</v>
      </c>
      <c r="M22" s="9">
        <v>24.120939364113241</v>
      </c>
      <c r="N22" s="9">
        <v>24.391019944604135</v>
      </c>
      <c r="O22" s="9">
        <v>24.839075347899907</v>
      </c>
      <c r="P22" s="9">
        <v>25.683861778714437</v>
      </c>
    </row>
    <row r="23" spans="1:16">
      <c r="A23" s="26">
        <v>22</v>
      </c>
      <c r="B23" s="9">
        <v>22.27227505318394</v>
      </c>
      <c r="C23" s="9">
        <v>22.77516693252991</v>
      </c>
      <c r="D23" s="9">
        <v>22.701689073781218</v>
      </c>
      <c r="E23" s="9">
        <v>22.649588342905201</v>
      </c>
      <c r="F23" s="9">
        <v>21.797663887831632</v>
      </c>
      <c r="G23" s="9">
        <v>21.405820312026162</v>
      </c>
      <c r="H23" s="9">
        <v>20.910989999126155</v>
      </c>
      <c r="I23" s="9">
        <v>20.627442927497427</v>
      </c>
      <c r="J23" s="29">
        <v>21.336839964081111</v>
      </c>
      <c r="K23" s="9">
        <v>20.621164926589913</v>
      </c>
      <c r="L23" s="9">
        <v>21.116714770612198</v>
      </c>
      <c r="M23" s="9">
        <v>20.82925615976497</v>
      </c>
      <c r="N23" s="9">
        <v>20.564102272514329</v>
      </c>
      <c r="O23" s="9">
        <v>20.639307114647952</v>
      </c>
      <c r="P23" s="9">
        <v>21.323091845409987</v>
      </c>
    </row>
    <row r="24" spans="1:16">
      <c r="A24" s="26">
        <v>23</v>
      </c>
      <c r="B24" s="9">
        <v>22.579043208770798</v>
      </c>
      <c r="C24" s="9">
        <v>22.447876130060198</v>
      </c>
      <c r="D24" s="9">
        <v>23.093090225881699</v>
      </c>
      <c r="E24" s="9">
        <v>22.922367192773489</v>
      </c>
      <c r="F24" s="9">
        <v>23.35089572181597</v>
      </c>
      <c r="G24" s="9">
        <v>24.126362753410856</v>
      </c>
      <c r="H24" s="9">
        <v>23.943704599856609</v>
      </c>
      <c r="I24" s="9">
        <v>24.26488390358449</v>
      </c>
      <c r="J24" s="29">
        <v>24.249004067141364</v>
      </c>
      <c r="K24" s="9">
        <v>24.311537574498228</v>
      </c>
      <c r="L24" s="9">
        <v>24.018651644125228</v>
      </c>
      <c r="M24" s="9">
        <v>23.966697305240832</v>
      </c>
      <c r="N24" s="9">
        <v>24.99589726604</v>
      </c>
      <c r="O24" s="9">
        <v>24.613518169835277</v>
      </c>
      <c r="P24" s="9">
        <v>24.086383256252024</v>
      </c>
    </row>
    <row r="25" spans="1:16">
      <c r="A25" s="26">
        <v>24</v>
      </c>
      <c r="B25" s="9">
        <v>21.830834878771054</v>
      </c>
      <c r="C25" s="9">
        <v>22.140088109541225</v>
      </c>
      <c r="D25" s="9">
        <v>22.536075632494331</v>
      </c>
      <c r="E25" s="9">
        <v>22.99134013683965</v>
      </c>
      <c r="F25" s="9">
        <v>23.685598853268605</v>
      </c>
      <c r="G25" s="9">
        <v>23.668951848146943</v>
      </c>
      <c r="H25" s="9">
        <v>23.422630767911684</v>
      </c>
      <c r="I25" s="9">
        <v>24.203846463128279</v>
      </c>
      <c r="J25" s="29">
        <v>24.749875449143229</v>
      </c>
      <c r="K25" s="9">
        <v>24.260001432216775</v>
      </c>
      <c r="L25" s="9">
        <v>24.282063458615188</v>
      </c>
      <c r="M25" s="9">
        <v>25.227141703800427</v>
      </c>
      <c r="N25" s="9">
        <v>25.141709628333274</v>
      </c>
      <c r="O25" s="9">
        <v>25.737115419395753</v>
      </c>
      <c r="P25" s="9">
        <v>25.605217244777499</v>
      </c>
    </row>
    <row r="26" spans="1:16">
      <c r="A26" s="26">
        <v>25</v>
      </c>
      <c r="B26" s="9">
        <v>22.043163414096611</v>
      </c>
      <c r="C26" s="9">
        <v>22.050304052384661</v>
      </c>
      <c r="D26" s="9">
        <v>22.227391487791675</v>
      </c>
      <c r="E26" s="9">
        <v>22.374068154252225</v>
      </c>
      <c r="F26" s="9">
        <v>22.268278483140865</v>
      </c>
      <c r="G26" s="9">
        <v>22.215547546724899</v>
      </c>
      <c r="H26" s="9">
        <v>23.115832225949532</v>
      </c>
      <c r="I26" s="9">
        <v>23.531230891370296</v>
      </c>
      <c r="J26" s="29">
        <v>23.515387923247005</v>
      </c>
      <c r="K26" s="9">
        <v>23.665880542899504</v>
      </c>
      <c r="L26" s="9">
        <v>23.572085488271156</v>
      </c>
      <c r="M26" s="9">
        <v>23.833512188817313</v>
      </c>
      <c r="N26" s="9">
        <v>23.351564296792532</v>
      </c>
      <c r="O26" s="9">
        <v>23.860451035336901</v>
      </c>
      <c r="P26" s="9">
        <v>22.779819936068264</v>
      </c>
    </row>
    <row r="27" spans="1:16">
      <c r="A27" s="26">
        <v>26</v>
      </c>
      <c r="B27" s="9">
        <v>21.460486477484071</v>
      </c>
      <c r="C27" s="9">
        <v>21.90050060756473</v>
      </c>
      <c r="D27" s="9">
        <v>21.934254809563466</v>
      </c>
      <c r="E27" s="9">
        <v>22.073008242860482</v>
      </c>
      <c r="F27" s="9">
        <v>21.880630648220571</v>
      </c>
      <c r="G27" s="9">
        <v>21.307595098248232</v>
      </c>
      <c r="H27" s="9">
        <v>21.057016572812053</v>
      </c>
      <c r="I27" s="9">
        <v>21.75844856356585</v>
      </c>
      <c r="J27" s="29">
        <v>21.812307198041523</v>
      </c>
      <c r="K27" s="9">
        <v>21.99192003297664</v>
      </c>
      <c r="L27" s="9">
        <v>21.722403494570102</v>
      </c>
      <c r="M27" s="9">
        <v>21.806606121471283</v>
      </c>
      <c r="N27" s="9">
        <v>22.420650395532014</v>
      </c>
      <c r="O27" s="9">
        <v>23.020528760037053</v>
      </c>
      <c r="P27" s="9">
        <v>22.752797916592634</v>
      </c>
    </row>
    <row r="28" spans="1:16">
      <c r="A28" s="26">
        <v>27</v>
      </c>
      <c r="B28" s="9">
        <v>22.135601293661825</v>
      </c>
      <c r="C28" s="9">
        <v>22.495424957327383</v>
      </c>
      <c r="D28" s="9">
        <v>22.849577639427412</v>
      </c>
      <c r="E28" s="9">
        <v>23.087039670334299</v>
      </c>
      <c r="F28" s="9">
        <v>23.894287618068699</v>
      </c>
      <c r="G28" s="9">
        <v>24.53346393594726</v>
      </c>
      <c r="H28" s="9">
        <v>24.823063583824545</v>
      </c>
      <c r="I28" s="9">
        <v>24.482348725925618</v>
      </c>
      <c r="J28" s="29">
        <v>25.036767336633016</v>
      </c>
      <c r="K28" s="9">
        <v>25.769985983227809</v>
      </c>
      <c r="L28" s="9">
        <v>26.068361023446659</v>
      </c>
      <c r="M28" s="9">
        <v>25.548337519221111</v>
      </c>
      <c r="N28" s="9">
        <v>26.177612805448135</v>
      </c>
      <c r="O28" s="9">
        <v>26.230753580715099</v>
      </c>
      <c r="P28" s="9">
        <v>26.245438599020314</v>
      </c>
    </row>
    <row r="29" spans="1:16">
      <c r="A29" s="26">
        <v>28</v>
      </c>
      <c r="B29" s="9">
        <v>21.912279525640265</v>
      </c>
      <c r="C29" s="9">
        <v>21.952058287115772</v>
      </c>
      <c r="D29" s="9">
        <v>21.671800110776314</v>
      </c>
      <c r="E29" s="9">
        <v>21.255006650744424</v>
      </c>
      <c r="F29" s="9">
        <v>21.021429653762542</v>
      </c>
      <c r="G29" s="9">
        <v>21.112298924199571</v>
      </c>
      <c r="H29" s="9">
        <v>21.718354838733568</v>
      </c>
      <c r="I29" s="9">
        <v>21.617227109937744</v>
      </c>
      <c r="J29" s="29">
        <v>22.074424177298507</v>
      </c>
      <c r="K29" s="9">
        <v>22.161692995893105</v>
      </c>
      <c r="L29" s="9">
        <v>21.153557124772391</v>
      </c>
      <c r="M29" s="9">
        <v>21.645808996221348</v>
      </c>
      <c r="N29" s="9">
        <v>21.850323567189704</v>
      </c>
      <c r="O29" s="9">
        <v>21.976685218216989</v>
      </c>
      <c r="P29" s="9">
        <v>21.945963422623812</v>
      </c>
    </row>
    <row r="30" spans="1:16">
      <c r="A30" s="26">
        <v>29</v>
      </c>
      <c r="B30" s="9">
        <v>22.697823567555925</v>
      </c>
      <c r="C30" s="9">
        <v>22.235050207499153</v>
      </c>
      <c r="D30" s="9">
        <v>21.727921721543144</v>
      </c>
      <c r="E30" s="9">
        <v>22.044921355819895</v>
      </c>
      <c r="F30" s="9">
        <v>22.064414099784639</v>
      </c>
      <c r="G30" s="9">
        <v>22.074104888578667</v>
      </c>
      <c r="H30" s="9">
        <v>21.937852929810305</v>
      </c>
      <c r="I30" s="9">
        <v>22.275470164765007</v>
      </c>
      <c r="J30" s="29">
        <v>22.508142766433444</v>
      </c>
      <c r="K30" s="9">
        <v>22.332231389631577</v>
      </c>
      <c r="L30" s="9">
        <v>22.712451345895115</v>
      </c>
      <c r="M30" s="9">
        <v>22.139437898760409</v>
      </c>
      <c r="N30" s="9">
        <v>22.438373002002447</v>
      </c>
      <c r="O30" s="9">
        <v>22.262302023919325</v>
      </c>
      <c r="P30" s="9">
        <v>22.613641938824522</v>
      </c>
    </row>
    <row r="31" spans="1:16">
      <c r="A31" s="26">
        <v>30</v>
      </c>
      <c r="B31" s="9">
        <v>21.536141827717142</v>
      </c>
      <c r="C31" s="9">
        <v>21.548802985534007</v>
      </c>
      <c r="D31" s="9">
        <v>21.382315952071274</v>
      </c>
      <c r="E31" s="9">
        <v>21.234503468732814</v>
      </c>
      <c r="F31" s="9">
        <v>21.199718138977389</v>
      </c>
      <c r="G31" s="9">
        <v>21.866653779262485</v>
      </c>
      <c r="H31" s="9">
        <v>21.713606754413174</v>
      </c>
      <c r="I31" s="9">
        <v>21.557674851830861</v>
      </c>
      <c r="J31" s="29">
        <v>21.571031338462355</v>
      </c>
      <c r="K31" s="9">
        <v>22.969768523356091</v>
      </c>
      <c r="L31" s="9">
        <v>23.09353723266187</v>
      </c>
      <c r="M31" s="9">
        <v>23.095204783572669</v>
      </c>
      <c r="N31" s="9">
        <v>23.97532174181444</v>
      </c>
      <c r="O31" s="9">
        <v>24.233893903965779</v>
      </c>
      <c r="P31" s="9">
        <v>24.189084970904485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Data</vt:lpstr>
      <vt:lpstr>Statistics</vt:lpstr>
      <vt:lpstr>SCIB</vt:lpstr>
      <vt:lpstr>Matrix Z</vt:lpstr>
      <vt:lpstr>PS</vt:lpstr>
      <vt:lpstr>KCE</vt:lpstr>
      <vt:lpstr>CPF</vt:lpstr>
      <vt:lpstr>TPIP</vt:lpstr>
      <vt:lpstr>TCAP</vt:lpstr>
      <vt:lpstr>CholInx</vt:lpstr>
      <vt:lpstr>cholRange</vt:lpstr>
      <vt:lpstr>CorrInx</vt:lpstr>
      <vt:lpstr>corrRange</vt:lpstr>
      <vt:lpstr>CovarInx</vt:lpstr>
      <vt:lpstr>covRange</vt:lpstr>
      <vt:lpstr>DateInx</vt:lpstr>
      <vt:lpstr>firstObs</vt:lpstr>
      <vt:lpstr>initInvest</vt:lpstr>
      <vt:lpstr>MatZ</vt:lpstr>
      <vt:lpstr>mean</vt:lpstr>
      <vt:lpstr>means</vt:lpstr>
      <vt:lpstr>nLoop</vt:lpstr>
      <vt:lpstr>NumAsset</vt:lpstr>
      <vt:lpstr>NumPeriod</vt:lpstr>
      <vt:lpstr>NumSim</vt:lpstr>
      <vt:lpstr>PLInx</vt:lpstr>
      <vt:lpstr>portRet</vt:lpstr>
      <vt:lpstr>portStd</vt:lpstr>
      <vt:lpstr>PriceInx</vt:lpstr>
      <vt:lpstr>ReturnInx</vt:lpstr>
      <vt:lpstr>returnRange</vt:lpstr>
      <vt:lpstr>RF</vt:lpstr>
      <vt:lpstr>SceneINx</vt:lpstr>
      <vt:lpstr>SCIB_MUE</vt:lpstr>
      <vt:lpstr>SCIB_S0</vt:lpstr>
      <vt:lpstr>SCIB_SIGMA</vt:lpstr>
      <vt:lpstr>sharpe</vt:lpstr>
      <vt:lpstr>statRange</vt:lpstr>
      <vt:lpstr>std</vt:lpstr>
      <vt:lpstr>totCap</vt:lpstr>
      <vt:lpstr>UnitInx</vt:lpstr>
      <vt:lpstr>VaR</vt:lpstr>
      <vt:lpstr>vol</vt:lpstr>
      <vt:lpstr>weightInx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cp:lastPrinted>2014-09-19T23:25:25Z</cp:lastPrinted>
  <dcterms:created xsi:type="dcterms:W3CDTF">1996-10-14T23:33:28Z</dcterms:created>
  <dcterms:modified xsi:type="dcterms:W3CDTF">2014-09-20T18:31:47Z</dcterms:modified>
</cp:coreProperties>
</file>