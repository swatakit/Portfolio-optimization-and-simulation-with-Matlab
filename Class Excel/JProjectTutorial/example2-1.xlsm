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5135" windowHeight="9300" activeTab="3"/>
  </bookViews>
  <sheets>
    <sheet name="Data" sheetId="2" r:id="rId1"/>
    <sheet name="Statistics" sheetId="3" r:id="rId2"/>
    <sheet name="SCIB" sheetId="6" r:id="rId3"/>
    <sheet name="Matrix Z" sheetId="12" r:id="rId4"/>
    <sheet name="PS" sheetId="7" r:id="rId5"/>
    <sheet name="KCE" sheetId="8" r:id="rId6"/>
    <sheet name="CPF" sheetId="9" r:id="rId7"/>
    <sheet name="TPIP" sheetId="10" r:id="rId8"/>
    <sheet name="TCAP" sheetId="11" r:id="rId9"/>
  </sheets>
  <definedNames>
    <definedName name="CholInx">Statistics!$B$22</definedName>
    <definedName name="cholRange">Statistics!$B$22:$G$27</definedName>
    <definedName name="CorrInx">Statistics!$B$14</definedName>
    <definedName name="corrRange">Statistics!$B$14:$G$19</definedName>
    <definedName name="CovarInx">Statistics!$B$6</definedName>
    <definedName name="covRange">Statistics!$B$6:$G$11</definedName>
    <definedName name="DateInx">Data!$A$2</definedName>
    <definedName name="firstObs">Data!$B$3</definedName>
    <definedName name="initInvest">Data!$S$24</definedName>
    <definedName name="MatZ">'Matrix Z'!$A$2:$F$32</definedName>
    <definedName name="mean">Data!$W$25</definedName>
    <definedName name="means">Statistics!$A$2</definedName>
    <definedName name="nLoop">Data!$W$15</definedName>
    <definedName name="NumAsset">Data!$Q$6</definedName>
    <definedName name="NumPeriod">Data!$Q$5</definedName>
    <definedName name="NumSim">Data!$Q$4</definedName>
    <definedName name="PLInx">Data!$Q$26</definedName>
    <definedName name="portRet">Data!$T$28</definedName>
    <definedName name="portStd">Data!$T$29</definedName>
    <definedName name="PriceInx">Data!$Q$17</definedName>
    <definedName name="ReturnInx">Data!$I$3</definedName>
    <definedName name="returnRange">Data!$I$4:$N$245</definedName>
    <definedName name="RF">Data!$W$16</definedName>
    <definedName name="SceneINx">Data!$P$26</definedName>
    <definedName name="SCIB_MUE">Statistics!$B$2</definedName>
    <definedName name="SCIB_S0">Data!$Q$18</definedName>
    <definedName name="SCIB_SIGMA">Statistics!$B$3</definedName>
    <definedName name="sharpe">Data!$W$24</definedName>
    <definedName name="statRange">Statistics!$B$2:$G$3</definedName>
    <definedName name="std">Statistics!$A$3</definedName>
    <definedName name="totCap">Data!$T$15</definedName>
    <definedName name="UnitInx">Data!$R$17</definedName>
    <definedName name="VaR">Data!$T$27</definedName>
    <definedName name="vol">Data!$W$26</definedName>
    <definedName name="weightInx">Data!$T$17</definedName>
  </definedNames>
  <calcPr calcId="125725"/>
</workbook>
</file>

<file path=xl/calcChain.xml><?xml version="1.0" encoding="utf-8"?>
<calcChain xmlns="http://schemas.openxmlformats.org/spreadsheetml/2006/main">
  <c r="V2" i="12"/>
  <c r="O2" a="1"/>
  <c r="P2" s="1"/>
  <c r="S19" i="2"/>
  <c r="R19"/>
  <c r="S20"/>
  <c r="R20"/>
  <c r="S21"/>
  <c r="R21"/>
  <c r="S22"/>
  <c r="R22"/>
  <c r="S23"/>
  <c r="R23"/>
  <c r="S18"/>
  <c r="R18"/>
  <c r="T24"/>
  <c r="J2"/>
  <c r="K2"/>
  <c r="L2"/>
  <c r="M2"/>
  <c r="N2"/>
  <c r="I2"/>
  <c r="S24"/>
  <c r="S31" i="12" l="1"/>
  <c r="O31"/>
  <c r="Q30"/>
  <c r="S29"/>
  <c r="O29"/>
  <c r="Q28"/>
  <c r="S27"/>
  <c r="O27"/>
  <c r="Q26"/>
  <c r="S25"/>
  <c r="O25"/>
  <c r="Q24"/>
  <c r="S23"/>
  <c r="O23"/>
  <c r="Q22"/>
  <c r="S21"/>
  <c r="O21"/>
  <c r="Q20"/>
  <c r="S19"/>
  <c r="O19"/>
  <c r="Q18"/>
  <c r="S17"/>
  <c r="O17"/>
  <c r="Q16"/>
  <c r="S15"/>
  <c r="O15"/>
  <c r="Q14"/>
  <c r="S13"/>
  <c r="O13"/>
  <c r="Q12"/>
  <c r="S11"/>
  <c r="O11"/>
  <c r="Q10"/>
  <c r="S9"/>
  <c r="O9"/>
  <c r="Q8"/>
  <c r="S7"/>
  <c r="O7"/>
  <c r="Q6"/>
  <c r="S5"/>
  <c r="O5"/>
  <c r="Q4"/>
  <c r="S3"/>
  <c r="O3"/>
  <c r="Q2"/>
  <c r="T31"/>
  <c r="P31"/>
  <c r="R30"/>
  <c r="T29"/>
  <c r="P29"/>
  <c r="R28"/>
  <c r="T27"/>
  <c r="P27"/>
  <c r="R26"/>
  <c r="T25"/>
  <c r="P25"/>
  <c r="R24"/>
  <c r="T23"/>
  <c r="P23"/>
  <c r="R22"/>
  <c r="T21"/>
  <c r="P21"/>
  <c r="R20"/>
  <c r="T19"/>
  <c r="P19"/>
  <c r="R18"/>
  <c r="T17"/>
  <c r="P17"/>
  <c r="R16"/>
  <c r="T15"/>
  <c r="P15"/>
  <c r="R14"/>
  <c r="T13"/>
  <c r="P13"/>
  <c r="R12"/>
  <c r="T11"/>
  <c r="P11"/>
  <c r="R10"/>
  <c r="T9"/>
  <c r="P9"/>
  <c r="R8"/>
  <c r="T7"/>
  <c r="P7"/>
  <c r="R6"/>
  <c r="T5"/>
  <c r="P5"/>
  <c r="R4"/>
  <c r="T3"/>
  <c r="P3"/>
  <c r="R2"/>
  <c r="Q31"/>
  <c r="S30"/>
  <c r="O30"/>
  <c r="Q29"/>
  <c r="S28"/>
  <c r="O28"/>
  <c r="Q27"/>
  <c r="S26"/>
  <c r="O26"/>
  <c r="Q25"/>
  <c r="S24"/>
  <c r="O24"/>
  <c r="Q23"/>
  <c r="S22"/>
  <c r="O22"/>
  <c r="Q21"/>
  <c r="S20"/>
  <c r="O20"/>
  <c r="Q19"/>
  <c r="S18"/>
  <c r="O18"/>
  <c r="Q17"/>
  <c r="S16"/>
  <c r="O16"/>
  <c r="Q15"/>
  <c r="S14"/>
  <c r="O14"/>
  <c r="Q13"/>
  <c r="S12"/>
  <c r="O12"/>
  <c r="Q11"/>
  <c r="S10"/>
  <c r="O10"/>
  <c r="Q9"/>
  <c r="S8"/>
  <c r="O8"/>
  <c r="Q7"/>
  <c r="S6"/>
  <c r="O6"/>
  <c r="Q5"/>
  <c r="S4"/>
  <c r="O4"/>
  <c r="Q3"/>
  <c r="S2"/>
  <c r="O2"/>
  <c r="W2" s="1"/>
  <c r="R31"/>
  <c r="T30"/>
  <c r="P30"/>
  <c r="R29"/>
  <c r="T28"/>
  <c r="P28"/>
  <c r="R27"/>
  <c r="T26"/>
  <c r="P26"/>
  <c r="R25"/>
  <c r="T24"/>
  <c r="P24"/>
  <c r="R23"/>
  <c r="T22"/>
  <c r="P22"/>
  <c r="R21"/>
  <c r="T20"/>
  <c r="P20"/>
  <c r="R19"/>
  <c r="T18"/>
  <c r="P18"/>
  <c r="R17"/>
  <c r="T16"/>
  <c r="P16"/>
  <c r="R15"/>
  <c r="T14"/>
  <c r="P14"/>
  <c r="R13"/>
  <c r="T12"/>
  <c r="P12"/>
  <c r="R11"/>
  <c r="T10"/>
  <c r="P10"/>
  <c r="R9"/>
  <c r="T8"/>
  <c r="P8"/>
  <c r="R7"/>
  <c r="T6"/>
  <c r="P6"/>
  <c r="R5"/>
  <c r="T4"/>
  <c r="P4"/>
  <c r="R3"/>
  <c r="T2"/>
</calcChain>
</file>

<file path=xl/sharedStrings.xml><?xml version="1.0" encoding="utf-8"?>
<sst xmlns="http://schemas.openxmlformats.org/spreadsheetml/2006/main" count="96" uniqueCount="48">
  <si>
    <t>Date</t>
  </si>
  <si>
    <t>Historical Price</t>
  </si>
  <si>
    <t>Historical Return</t>
  </si>
  <si>
    <t>SCIB</t>
  </si>
  <si>
    <t>PS</t>
  </si>
  <si>
    <t>KCE</t>
  </si>
  <si>
    <t>CPF</t>
  </si>
  <si>
    <t>TPIP</t>
  </si>
  <si>
    <t>TCAP</t>
  </si>
  <si>
    <t>Daily Mean</t>
  </si>
  <si>
    <t>Daily Volatility</t>
  </si>
  <si>
    <t>Descriptive 
Statistics</t>
  </si>
  <si>
    <t>Covariance
Matrix</t>
  </si>
  <si>
    <t>Correlation
Matrix</t>
  </si>
  <si>
    <t>Cholesky
Matrix</t>
  </si>
  <si>
    <t>NumSim</t>
  </si>
  <si>
    <t>NumPeriod</t>
  </si>
  <si>
    <t>NumAsset</t>
  </si>
  <si>
    <t>Stock</t>
  </si>
  <si>
    <t>S0</t>
  </si>
  <si>
    <t>Unit</t>
  </si>
  <si>
    <t>Value</t>
  </si>
  <si>
    <t>Scene</t>
  </si>
  <si>
    <t>P/L</t>
  </si>
  <si>
    <t>Step1</t>
  </si>
  <si>
    <t>(then go to Statistics sheet)</t>
  </si>
  <si>
    <t>Step2</t>
  </si>
  <si>
    <t>Step3</t>
  </si>
  <si>
    <t>Step4</t>
  </si>
  <si>
    <t>Step5</t>
  </si>
  <si>
    <t>Step6 - Done!</t>
  </si>
  <si>
    <t>Check each asset price path!</t>
  </si>
  <si>
    <t>Total Capital</t>
  </si>
  <si>
    <t xml:space="preserve">Pre-req: Descriptive Stat </t>
  </si>
  <si>
    <t>and Covariance Matrix is Caled</t>
  </si>
  <si>
    <t>nLoop</t>
  </si>
  <si>
    <t>RF</t>
  </si>
  <si>
    <t>%Weight</t>
  </si>
  <si>
    <t>mean</t>
  </si>
  <si>
    <t>vol</t>
  </si>
  <si>
    <t>Shape</t>
  </si>
  <si>
    <t>port VaR</t>
  </si>
  <si>
    <t>port Return</t>
  </si>
  <si>
    <t>port Std</t>
  </si>
  <si>
    <t>Z matrix at Final t=nPeriod</t>
  </si>
  <si>
    <t>X=Z.transpose(cholesky) matrix at Final t=nPeriod</t>
  </si>
  <si>
    <t>SCIB at nPeriod-1</t>
  </si>
  <si>
    <t>SCIB at Final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</si>
</sst>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71" formatCode="_-* #,##0.00_-;\-* #,##0.00_-;_-* &quot;-&quot;??_-;_-@_-"/>
    <numFmt numFmtId="172" formatCode="dd/mm/yyyy"/>
  </numFmts>
  <fonts count="12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6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5" fillId="2" borderId="1" xfId="0" applyFont="1" applyFill="1" applyBorder="1"/>
    <xf numFmtId="0" fontId="6" fillId="2" borderId="0" xfId="0" applyFont="1" applyFill="1"/>
    <xf numFmtId="0" fontId="7" fillId="2" borderId="1" xfId="0" applyFont="1" applyFill="1" applyBorder="1" applyAlignment="1">
      <alignment wrapText="1"/>
    </xf>
    <xf numFmtId="0" fontId="3" fillId="0" borderId="0" xfId="0" applyFont="1" applyFill="1"/>
    <xf numFmtId="0" fontId="3" fillId="0" borderId="1" xfId="0" applyFont="1" applyFill="1" applyBorder="1"/>
    <xf numFmtId="0" fontId="6" fillId="0" borderId="0" xfId="0" applyFont="1" applyFill="1"/>
    <xf numFmtId="0" fontId="5" fillId="0" borderId="0" xfId="0" applyFont="1" applyFill="1"/>
    <xf numFmtId="172" fontId="4" fillId="0" borderId="2" xfId="0" applyNumberFormat="1" applyFont="1" applyFill="1" applyBorder="1"/>
    <xf numFmtId="0" fontId="0" fillId="0" borderId="0" xfId="0" applyFill="1"/>
    <xf numFmtId="0" fontId="5" fillId="3" borderId="0" xfId="0" applyFont="1" applyFill="1"/>
    <xf numFmtId="0" fontId="5" fillId="4" borderId="0" xfId="0" applyFont="1" applyFill="1"/>
    <xf numFmtId="0" fontId="5" fillId="5" borderId="0" xfId="0" applyFont="1" applyFill="1"/>
    <xf numFmtId="0" fontId="8" fillId="5" borderId="0" xfId="0" applyFont="1" applyFill="1" applyAlignment="1">
      <alignment horizontal="center"/>
    </xf>
    <xf numFmtId="0" fontId="5" fillId="2" borderId="0" xfId="0" applyFont="1" applyFill="1"/>
    <xf numFmtId="0" fontId="3" fillId="6" borderId="0" xfId="0" applyFont="1" applyFill="1"/>
    <xf numFmtId="0" fontId="5" fillId="2" borderId="3" xfId="0" applyFont="1" applyFill="1" applyBorder="1"/>
    <xf numFmtId="0" fontId="5" fillId="2" borderId="1" xfId="0" applyFont="1" applyFill="1" applyBorder="1" applyAlignment="1">
      <alignment horizontal="center"/>
    </xf>
    <xf numFmtId="0" fontId="9" fillId="0" borderId="0" xfId="0" applyFont="1" applyFill="1"/>
    <xf numFmtId="0" fontId="5" fillId="2" borderId="4" xfId="0" applyFont="1" applyFill="1" applyBorder="1"/>
    <xf numFmtId="0" fontId="7" fillId="7" borderId="0" xfId="0" applyFont="1" applyFill="1"/>
    <xf numFmtId="43" fontId="3" fillId="6" borderId="0" xfId="1" applyFont="1" applyFill="1"/>
    <xf numFmtId="43" fontId="3" fillId="0" borderId="0" xfId="1" applyFont="1" applyFill="1"/>
    <xf numFmtId="171" fontId="3" fillId="0" borderId="0" xfId="0" applyNumberFormat="1" applyFont="1" applyFill="1" applyBorder="1"/>
    <xf numFmtId="9" fontId="3" fillId="6" borderId="0" xfId="0" applyNumberFormat="1" applyFont="1" applyFill="1"/>
    <xf numFmtId="0" fontId="5" fillId="2" borderId="5" xfId="0" applyFont="1" applyFill="1" applyBorder="1"/>
    <xf numFmtId="0" fontId="8" fillId="7" borderId="0" xfId="0" applyFont="1" applyFill="1" applyAlignment="1">
      <alignment horizontal="center"/>
    </xf>
    <xf numFmtId="0" fontId="10" fillId="0" borderId="0" xfId="0" applyFont="1" applyFill="1" applyBorder="1"/>
    <xf numFmtId="0" fontId="10" fillId="0" borderId="0" xfId="0" applyFont="1" applyFill="1"/>
    <xf numFmtId="0" fontId="11" fillId="0" borderId="0" xfId="0" applyFont="1" applyFill="1"/>
    <xf numFmtId="0" fontId="8" fillId="8" borderId="0" xfId="0" applyFont="1" applyFill="1" applyAlignment="1">
      <alignment horizontal="center"/>
    </xf>
    <xf numFmtId="0" fontId="8" fillId="5" borderId="0" xfId="0" applyFont="1" applyFill="1"/>
    <xf numFmtId="0" fontId="7" fillId="9" borderId="0" xfId="0" applyFont="1" applyFill="1"/>
    <xf numFmtId="9" fontId="3" fillId="6" borderId="0" xfId="2" applyFont="1" applyFill="1"/>
    <xf numFmtId="9" fontId="3" fillId="6" borderId="0" xfId="2" applyFont="1" applyFill="1" applyBorder="1"/>
    <xf numFmtId="0" fontId="7" fillId="9" borderId="0" xfId="0" applyFont="1" applyFill="1" applyBorder="1"/>
    <xf numFmtId="0" fontId="3" fillId="6" borderId="0" xfId="0" applyFont="1" applyFill="1" applyBorder="1"/>
    <xf numFmtId="10" fontId="3" fillId="6" borderId="0" xfId="2" applyNumberFormat="1" applyFont="1" applyFill="1" applyBorder="1"/>
    <xf numFmtId="4" fontId="9" fillId="6" borderId="0" xfId="1" applyNumberFormat="1" applyFont="1" applyFill="1"/>
    <xf numFmtId="0" fontId="3" fillId="10" borderId="0" xfId="0" applyFont="1" applyFill="1"/>
    <xf numFmtId="0" fontId="0" fillId="10" borderId="0" xfId="0" applyFill="1"/>
    <xf numFmtId="0" fontId="3" fillId="11" borderId="0" xfId="0" applyFont="1" applyFill="1"/>
    <xf numFmtId="0" fontId="0" fillId="11" borderId="0" xfId="0" applyFill="1"/>
    <xf numFmtId="0" fontId="3" fillId="12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7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control" Target="../activeX/activeX6.xml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W245"/>
  <sheetViews>
    <sheetView workbookViewId="0">
      <selection activeCell="P15" sqref="P15"/>
    </sheetView>
  </sheetViews>
  <sheetFormatPr defaultRowHeight="12.75"/>
  <cols>
    <col min="1" max="1" width="10.42578125" style="4" customWidth="1"/>
    <col min="2" max="2" width="6" style="4" bestFit="1" customWidth="1"/>
    <col min="3" max="6" width="5" style="4" bestFit="1" customWidth="1"/>
    <col min="7" max="7" width="5.85546875" style="4" bestFit="1" customWidth="1"/>
    <col min="8" max="8" width="2.140625" style="4" customWidth="1"/>
    <col min="9" max="14" width="9.140625" style="4"/>
    <col min="15" max="15" width="1.5703125" style="4" customWidth="1"/>
    <col min="16" max="16" width="10.140625" style="28" bestFit="1" customWidth="1"/>
    <col min="17" max="17" width="9.140625" style="4"/>
    <col min="18" max="18" width="11.28515625" style="4" customWidth="1"/>
    <col min="19" max="20" width="12.85546875" style="4" bestFit="1" customWidth="1"/>
    <col min="21" max="16384" width="9.140625" style="4"/>
  </cols>
  <sheetData>
    <row r="1" spans="1:23" ht="15.75">
      <c r="A1" s="2" t="s">
        <v>1</v>
      </c>
      <c r="B1" s="2"/>
      <c r="C1" s="2"/>
      <c r="D1" s="2"/>
      <c r="E1" s="2"/>
      <c r="F1" s="2"/>
      <c r="G1" s="2"/>
      <c r="H1" s="6"/>
      <c r="I1" s="2" t="s">
        <v>2</v>
      </c>
      <c r="J1" s="2"/>
      <c r="K1" s="2"/>
      <c r="L1" s="2"/>
      <c r="M1" s="2"/>
      <c r="N1" s="2"/>
      <c r="P1" s="4"/>
    </row>
    <row r="2" spans="1:23">
      <c r="A2" s="1" t="s">
        <v>0</v>
      </c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7"/>
      <c r="I2" s="1" t="str">
        <f t="shared" ref="I2:N2" si="0">B2</f>
        <v>SCIB</v>
      </c>
      <c r="J2" s="1" t="str">
        <f t="shared" si="0"/>
        <v>PS</v>
      </c>
      <c r="K2" s="1" t="str">
        <f t="shared" si="0"/>
        <v>KCE</v>
      </c>
      <c r="L2" s="1" t="str">
        <f t="shared" si="0"/>
        <v>CPF</v>
      </c>
      <c r="M2" s="1" t="str">
        <f t="shared" si="0"/>
        <v>TPIP</v>
      </c>
      <c r="N2" s="1" t="str">
        <f t="shared" si="0"/>
        <v>TCAP</v>
      </c>
      <c r="P2" s="4"/>
    </row>
    <row r="3" spans="1:23">
      <c r="A3" s="8">
        <v>39783</v>
      </c>
      <c r="B3" s="4">
        <v>6.6</v>
      </c>
      <c r="C3" s="4">
        <v>3.42</v>
      </c>
      <c r="D3" s="4">
        <v>1.04</v>
      </c>
      <c r="E3" s="4">
        <v>2.8</v>
      </c>
      <c r="F3" s="4">
        <v>2.42</v>
      </c>
      <c r="G3" s="4">
        <v>6.7</v>
      </c>
      <c r="P3" s="4"/>
    </row>
    <row r="4" spans="1:23">
      <c r="A4" s="8">
        <v>39784</v>
      </c>
      <c r="B4" s="4">
        <v>6.2</v>
      </c>
      <c r="C4" s="4">
        <v>3.42</v>
      </c>
      <c r="D4" s="4">
        <v>1.0900000000000001</v>
      </c>
      <c r="E4" s="4">
        <v>2.8</v>
      </c>
      <c r="F4" s="4">
        <v>2.48</v>
      </c>
      <c r="G4" s="4">
        <v>6.55</v>
      </c>
      <c r="I4" s="4">
        <v>-6.252035698133393E-2</v>
      </c>
      <c r="J4" s="4">
        <v>0</v>
      </c>
      <c r="K4" s="4">
        <v>4.6956983087771083E-2</v>
      </c>
      <c r="L4" s="4">
        <v>0</v>
      </c>
      <c r="M4" s="4">
        <v>2.4491020008295696E-2</v>
      </c>
      <c r="N4" s="4">
        <v>-2.2642476749759891E-2</v>
      </c>
      <c r="P4" s="10" t="s">
        <v>15</v>
      </c>
      <c r="Q4" s="10">
        <v>30</v>
      </c>
    </row>
    <row r="5" spans="1:23">
      <c r="A5" s="8">
        <v>39785</v>
      </c>
      <c r="B5" s="4">
        <v>6.25</v>
      </c>
      <c r="C5" s="4">
        <v>3.46</v>
      </c>
      <c r="D5" s="4">
        <v>1.1100000000000001</v>
      </c>
      <c r="E5" s="4">
        <v>2.84</v>
      </c>
      <c r="F5" s="4">
        <v>2.44</v>
      </c>
      <c r="G5" s="4">
        <v>6.65</v>
      </c>
      <c r="I5" s="4">
        <v>8.0321716972642527E-3</v>
      </c>
      <c r="J5" s="4">
        <v>1.1628037995119214E-2</v>
      </c>
      <c r="K5" s="4">
        <v>1.8182319083190547E-2</v>
      </c>
      <c r="L5" s="4">
        <v>1.4184634991956381E-2</v>
      </c>
      <c r="M5" s="4">
        <v>-1.6260520871780291E-2</v>
      </c>
      <c r="N5" s="4">
        <v>1.5151805020602246E-2</v>
      </c>
      <c r="P5" s="12" t="s">
        <v>16</v>
      </c>
      <c r="Q5" s="12">
        <v>15</v>
      </c>
    </row>
    <row r="6" spans="1:23">
      <c r="A6" s="8">
        <v>39786</v>
      </c>
      <c r="B6" s="4">
        <v>6.15</v>
      </c>
      <c r="C6" s="4">
        <v>3.3</v>
      </c>
      <c r="D6" s="4">
        <v>1.1100000000000001</v>
      </c>
      <c r="E6" s="4">
        <v>2.84</v>
      </c>
      <c r="F6" s="4">
        <v>2.44</v>
      </c>
      <c r="G6" s="4">
        <v>6.35</v>
      </c>
      <c r="I6" s="4">
        <v>-1.6129381929883529E-2</v>
      </c>
      <c r="J6" s="4">
        <v>-4.7346120597198428E-2</v>
      </c>
      <c r="K6" s="4">
        <v>0</v>
      </c>
      <c r="L6" s="4">
        <v>0</v>
      </c>
      <c r="M6" s="4">
        <v>0</v>
      </c>
      <c r="N6" s="4">
        <v>-4.6162041763162603E-2</v>
      </c>
      <c r="P6" s="11" t="s">
        <v>17</v>
      </c>
      <c r="Q6" s="11">
        <v>6</v>
      </c>
    </row>
    <row r="7" spans="1:23">
      <c r="A7" s="8">
        <v>39790</v>
      </c>
      <c r="B7" s="4">
        <v>6.45</v>
      </c>
      <c r="C7" s="4">
        <v>3.96</v>
      </c>
      <c r="D7" s="4">
        <v>1.1100000000000001</v>
      </c>
      <c r="E7" s="4">
        <v>2.86</v>
      </c>
      <c r="F7" s="4">
        <v>2.5</v>
      </c>
      <c r="G7" s="4">
        <v>7</v>
      </c>
      <c r="I7" s="4">
        <v>4.7628048989254664E-2</v>
      </c>
      <c r="J7" s="4">
        <v>0.18232155679395459</v>
      </c>
      <c r="K7" s="4">
        <v>0</v>
      </c>
      <c r="L7" s="4">
        <v>7.0175726586465398E-3</v>
      </c>
      <c r="M7" s="4">
        <v>2.4292692569044483E-2</v>
      </c>
      <c r="N7" s="4">
        <v>9.7455336150713057E-2</v>
      </c>
      <c r="P7" s="4"/>
    </row>
    <row r="8" spans="1:23">
      <c r="A8" s="8">
        <v>39791</v>
      </c>
      <c r="B8" s="4">
        <v>6.8</v>
      </c>
      <c r="C8" s="4">
        <v>4.0599999999999996</v>
      </c>
      <c r="D8" s="4">
        <v>1.1000000000000001</v>
      </c>
      <c r="E8" s="4">
        <v>2.92</v>
      </c>
      <c r="F8" s="4">
        <v>2.62</v>
      </c>
      <c r="G8" s="4">
        <v>7</v>
      </c>
      <c r="I8" s="4">
        <v>5.2842481374379774E-2</v>
      </c>
      <c r="J8" s="4">
        <v>2.4938948347251931E-2</v>
      </c>
      <c r="K8" s="4">
        <v>-9.0498355199179273E-3</v>
      </c>
      <c r="L8" s="4">
        <v>2.0761991448429225E-2</v>
      </c>
      <c r="M8" s="4">
        <v>4.6883585898850458E-2</v>
      </c>
      <c r="N8" s="4">
        <v>0</v>
      </c>
      <c r="P8" s="4"/>
    </row>
    <row r="9" spans="1:23">
      <c r="A9" s="8">
        <v>39793</v>
      </c>
      <c r="B9" s="4">
        <v>6.9</v>
      </c>
      <c r="C9" s="4">
        <v>3.8</v>
      </c>
      <c r="D9" s="4">
        <v>1.1000000000000001</v>
      </c>
      <c r="E9" s="4">
        <v>2.94</v>
      </c>
      <c r="F9" s="4">
        <v>2.6</v>
      </c>
      <c r="G9" s="4">
        <v>6.7</v>
      </c>
      <c r="I9" s="4">
        <v>1.4598799421152851E-2</v>
      </c>
      <c r="J9" s="4">
        <v>-6.61819068813011E-2</v>
      </c>
      <c r="K9" s="4">
        <v>0</v>
      </c>
      <c r="L9" s="4">
        <v>6.8259650703998906E-3</v>
      </c>
      <c r="M9" s="4">
        <v>-7.6628727455691371E-3</v>
      </c>
      <c r="N9" s="4">
        <v>-4.3802622658392888E-2</v>
      </c>
      <c r="P9" s="4"/>
    </row>
    <row r="10" spans="1:23">
      <c r="A10" s="8">
        <v>39794</v>
      </c>
      <c r="B10" s="4">
        <v>6.95</v>
      </c>
      <c r="C10" s="4">
        <v>3.9</v>
      </c>
      <c r="D10" s="4">
        <v>1.0900000000000001</v>
      </c>
      <c r="E10" s="4">
        <v>2.94</v>
      </c>
      <c r="F10" s="4">
        <v>2.6</v>
      </c>
      <c r="G10" s="4">
        <v>6.7</v>
      </c>
      <c r="I10" s="4">
        <v>7.2202479734870973E-3</v>
      </c>
      <c r="J10" s="4">
        <v>2.5975486403260736E-2</v>
      </c>
      <c r="K10" s="4">
        <v>-9.1324835632725868E-3</v>
      </c>
      <c r="L10" s="4">
        <v>0</v>
      </c>
      <c r="M10" s="4">
        <v>0</v>
      </c>
      <c r="N10" s="4">
        <v>0</v>
      </c>
      <c r="P10" s="4"/>
      <c r="R10" s="18" t="s">
        <v>24</v>
      </c>
      <c r="S10" s="18" t="s">
        <v>25</v>
      </c>
    </row>
    <row r="11" spans="1:23">
      <c r="A11" s="8">
        <v>39797</v>
      </c>
      <c r="B11" s="4">
        <v>6.9</v>
      </c>
      <c r="C11" s="4">
        <v>4.22</v>
      </c>
      <c r="D11" s="4">
        <v>1.06</v>
      </c>
      <c r="E11" s="4">
        <v>2.98</v>
      </c>
      <c r="F11" s="4">
        <v>2.76</v>
      </c>
      <c r="G11" s="4">
        <v>6.65</v>
      </c>
      <c r="I11" s="4">
        <v>-7.2202479734870201E-3</v>
      </c>
      <c r="J11" s="4">
        <v>7.8858574912319623E-2</v>
      </c>
      <c r="K11" s="4">
        <v>-2.7908788117076616E-2</v>
      </c>
      <c r="L11" s="4">
        <v>1.3513719166722855E-2</v>
      </c>
      <c r="M11" s="4">
        <v>5.9719234701622069E-2</v>
      </c>
      <c r="N11" s="4">
        <v>-7.4906717291576257E-3</v>
      </c>
      <c r="P11" s="4"/>
    </row>
    <row r="12" spans="1:23">
      <c r="A12" s="8">
        <v>39798</v>
      </c>
      <c r="B12" s="4">
        <v>7</v>
      </c>
      <c r="C12" s="4">
        <v>4.24</v>
      </c>
      <c r="D12" s="4">
        <v>1.06</v>
      </c>
      <c r="E12" s="4">
        <v>2.98</v>
      </c>
      <c r="F12" s="4">
        <v>2.86</v>
      </c>
      <c r="G12" s="4">
        <v>6.75</v>
      </c>
      <c r="I12" s="4">
        <v>1.4388737452099452E-2</v>
      </c>
      <c r="J12" s="4">
        <v>4.728141195946116E-3</v>
      </c>
      <c r="K12" s="4">
        <v>0</v>
      </c>
      <c r="L12" s="4">
        <v>0</v>
      </c>
      <c r="M12" s="4">
        <v>3.5590945102702533E-2</v>
      </c>
      <c r="N12" s="4">
        <v>1.4925650216675574E-2</v>
      </c>
      <c r="P12" s="4"/>
    </row>
    <row r="13" spans="1:23">
      <c r="A13" s="8">
        <v>39799</v>
      </c>
      <c r="B13" s="4">
        <v>6.9</v>
      </c>
      <c r="C13" s="4">
        <v>4.58</v>
      </c>
      <c r="D13" s="4">
        <v>1.04</v>
      </c>
      <c r="E13" s="4">
        <v>2.98</v>
      </c>
      <c r="F13" s="4">
        <v>2.82</v>
      </c>
      <c r="G13" s="4">
        <v>6.8</v>
      </c>
      <c r="I13" s="4">
        <v>-1.4388737452099556E-2</v>
      </c>
      <c r="J13" s="4">
        <v>7.7135728882227236E-2</v>
      </c>
      <c r="K13" s="4">
        <v>-1.9048194970694474E-2</v>
      </c>
      <c r="L13" s="4">
        <v>0</v>
      </c>
      <c r="M13" s="4">
        <v>-1.4084739881738972E-2</v>
      </c>
      <c r="N13" s="4">
        <v>7.38010729762246E-3</v>
      </c>
      <c r="P13" s="4"/>
    </row>
    <row r="14" spans="1:23">
      <c r="A14" s="8">
        <v>39800</v>
      </c>
      <c r="B14" s="4">
        <v>7</v>
      </c>
      <c r="C14" s="4">
        <v>4.58</v>
      </c>
      <c r="D14" s="4">
        <v>1.02</v>
      </c>
      <c r="E14" s="4">
        <v>2.86</v>
      </c>
      <c r="F14" s="4">
        <v>2.92</v>
      </c>
      <c r="G14" s="4">
        <v>6.8</v>
      </c>
      <c r="I14" s="4">
        <v>1.4388737452099452E-2</v>
      </c>
      <c r="J14" s="4">
        <v>0</v>
      </c>
      <c r="K14" s="4">
        <v>-1.9418085857101627E-2</v>
      </c>
      <c r="L14" s="4">
        <v>-4.1101675685551918E-2</v>
      </c>
      <c r="M14" s="4">
        <v>3.48467313301681E-2</v>
      </c>
      <c r="N14" s="4">
        <v>0</v>
      </c>
      <c r="P14" s="4"/>
    </row>
    <row r="15" spans="1:23">
      <c r="A15" s="8">
        <v>39801</v>
      </c>
      <c r="B15" s="4">
        <v>7.35</v>
      </c>
      <c r="C15" s="4">
        <v>4.5199999999999996</v>
      </c>
      <c r="D15" s="4">
        <v>1</v>
      </c>
      <c r="E15" s="4">
        <v>2.88</v>
      </c>
      <c r="F15" s="4">
        <v>3.48</v>
      </c>
      <c r="G15" s="4">
        <v>6.7</v>
      </c>
      <c r="I15" s="4">
        <v>4.8790164169432049E-2</v>
      </c>
      <c r="J15" s="4">
        <v>-1.3187004281953914E-2</v>
      </c>
      <c r="K15" s="4">
        <v>-1.9802627296179754E-2</v>
      </c>
      <c r="L15" s="4">
        <v>6.9686693160934355E-3</v>
      </c>
      <c r="M15" s="4">
        <v>0.17544867750619267</v>
      </c>
      <c r="N15" s="4">
        <v>-1.4815085785140587E-2</v>
      </c>
      <c r="P15" s="4"/>
      <c r="R15" s="20" t="s">
        <v>32</v>
      </c>
      <c r="S15" s="20"/>
      <c r="T15" s="21">
        <v>1000000</v>
      </c>
      <c r="V15" s="35" t="s">
        <v>35</v>
      </c>
      <c r="W15" s="36">
        <v>1000</v>
      </c>
    </row>
    <row r="16" spans="1:23">
      <c r="A16" s="8">
        <v>39804</v>
      </c>
      <c r="B16" s="4">
        <v>7.2</v>
      </c>
      <c r="C16" s="4">
        <v>4.22</v>
      </c>
      <c r="D16" s="4">
        <v>1</v>
      </c>
      <c r="E16" s="4">
        <v>2.84</v>
      </c>
      <c r="F16" s="4">
        <v>3.22</v>
      </c>
      <c r="G16" s="4">
        <v>6.6</v>
      </c>
      <c r="I16" s="4">
        <v>-2.0619287202735592E-2</v>
      </c>
      <c r="J16" s="4">
        <v>-6.8676865796219372E-2</v>
      </c>
      <c r="K16" s="4">
        <v>0</v>
      </c>
      <c r="L16" s="4">
        <v>-1.3986241974739952E-2</v>
      </c>
      <c r="M16" s="4">
        <v>-7.7650934230065999E-2</v>
      </c>
      <c r="N16" s="4">
        <v>-1.5037877364540559E-2</v>
      </c>
      <c r="P16" s="4"/>
      <c r="V16" s="35" t="s">
        <v>36</v>
      </c>
      <c r="W16" s="37">
        <v>2.5000000000000001E-2</v>
      </c>
    </row>
    <row r="17" spans="1:23">
      <c r="A17" s="8">
        <v>39805</v>
      </c>
      <c r="B17" s="4">
        <v>7.25</v>
      </c>
      <c r="C17" s="4">
        <v>4.28</v>
      </c>
      <c r="D17" s="4">
        <v>0.93</v>
      </c>
      <c r="E17" s="4">
        <v>2.94</v>
      </c>
      <c r="F17" s="4">
        <v>3.36</v>
      </c>
      <c r="G17" s="4">
        <v>6.75</v>
      </c>
      <c r="I17" s="4">
        <v>6.920442844573757E-3</v>
      </c>
      <c r="J17" s="4">
        <v>1.4117881545785022E-2</v>
      </c>
      <c r="K17" s="4">
        <v>-7.2570692834835374E-2</v>
      </c>
      <c r="L17" s="4">
        <v>3.4605529177475523E-2</v>
      </c>
      <c r="M17" s="4">
        <v>4.2559614418795903E-2</v>
      </c>
      <c r="N17" s="4">
        <v>2.2472855852058576E-2</v>
      </c>
      <c r="P17" s="1" t="s">
        <v>18</v>
      </c>
      <c r="Q17" s="1" t="s">
        <v>19</v>
      </c>
      <c r="R17" s="1" t="s">
        <v>20</v>
      </c>
      <c r="S17" s="1" t="s">
        <v>21</v>
      </c>
      <c r="T17" s="19" t="s">
        <v>37</v>
      </c>
    </row>
    <row r="18" spans="1:23">
      <c r="A18" s="8">
        <v>39806</v>
      </c>
      <c r="B18" s="4">
        <v>7.25</v>
      </c>
      <c r="C18" s="4">
        <v>4.34</v>
      </c>
      <c r="D18" s="4">
        <v>0.89</v>
      </c>
      <c r="E18" s="4">
        <v>2.92</v>
      </c>
      <c r="F18" s="4">
        <v>3.22</v>
      </c>
      <c r="G18" s="4">
        <v>7</v>
      </c>
      <c r="I18" s="4">
        <v>0</v>
      </c>
      <c r="J18" s="4">
        <v>1.3921338518608014E-2</v>
      </c>
      <c r="K18" s="4">
        <v>-4.3963123421116176E-2</v>
      </c>
      <c r="L18" s="4">
        <v>-6.8259650703998706E-3</v>
      </c>
      <c r="M18" s="4">
        <v>-4.2559614418795771E-2</v>
      </c>
      <c r="N18" s="4">
        <v>3.6367644170874791E-2</v>
      </c>
      <c r="P18" s="16" t="s">
        <v>3</v>
      </c>
      <c r="Q18" s="4">
        <v>28.75</v>
      </c>
      <c r="R18" s="23">
        <f t="shared" ref="R18:R23" si="1">S18/Q18</f>
        <v>4650.5829562311583</v>
      </c>
      <c r="S18" s="22">
        <f t="shared" ref="S18:S23" si="2">T18*$T$15</f>
        <v>133704.25999164581</v>
      </c>
      <c r="T18" s="24">
        <v>0.13370425999164581</v>
      </c>
    </row>
    <row r="19" spans="1:23">
      <c r="A19" s="8">
        <v>39807</v>
      </c>
      <c r="B19" s="4">
        <v>7.2</v>
      </c>
      <c r="C19" s="4">
        <v>4.62</v>
      </c>
      <c r="D19" s="4">
        <v>0.89</v>
      </c>
      <c r="E19" s="4">
        <v>2.94</v>
      </c>
      <c r="F19" s="4">
        <v>3.36</v>
      </c>
      <c r="G19" s="4">
        <v>7.05</v>
      </c>
      <c r="I19" s="4">
        <v>-6.9204428445737952E-3</v>
      </c>
      <c r="J19" s="4">
        <v>6.2520356981334138E-2</v>
      </c>
      <c r="K19" s="4">
        <v>0</v>
      </c>
      <c r="L19" s="4">
        <v>6.8259650703998906E-3</v>
      </c>
      <c r="M19" s="4">
        <v>4.2559614418795903E-2</v>
      </c>
      <c r="N19" s="4">
        <v>7.1174677688639549E-3</v>
      </c>
      <c r="P19" s="1" t="s">
        <v>4</v>
      </c>
      <c r="Q19" s="4">
        <v>15.8</v>
      </c>
      <c r="R19" s="23">
        <f t="shared" si="1"/>
        <v>8378.8701250583308</v>
      </c>
      <c r="S19" s="22">
        <f t="shared" si="2"/>
        <v>132386.14797592163</v>
      </c>
      <c r="T19" s="24">
        <v>0.13238614797592163</v>
      </c>
    </row>
    <row r="20" spans="1:23">
      <c r="A20" s="8">
        <v>39808</v>
      </c>
      <c r="B20" s="4">
        <v>7.2</v>
      </c>
      <c r="C20" s="4">
        <v>4.5999999999999996</v>
      </c>
      <c r="D20" s="4">
        <v>0.91</v>
      </c>
      <c r="E20" s="4">
        <v>3.08</v>
      </c>
      <c r="F20" s="4">
        <v>3.36</v>
      </c>
      <c r="G20" s="4">
        <v>7.05</v>
      </c>
      <c r="I20" s="4">
        <v>0</v>
      </c>
      <c r="J20" s="4">
        <v>-4.3384015985982417E-3</v>
      </c>
      <c r="K20" s="4">
        <v>2.2223136784710256E-2</v>
      </c>
      <c r="L20" s="4">
        <v>4.6520015634892907E-2</v>
      </c>
      <c r="M20" s="4">
        <v>0</v>
      </c>
      <c r="N20" s="4">
        <v>0</v>
      </c>
      <c r="P20" s="1" t="s">
        <v>5</v>
      </c>
      <c r="Q20" s="4">
        <v>3.9</v>
      </c>
      <c r="R20" s="23">
        <f t="shared" si="1"/>
        <v>25582.571442310626</v>
      </c>
      <c r="S20" s="22">
        <f t="shared" si="2"/>
        <v>99772.028625011444</v>
      </c>
      <c r="T20" s="33">
        <v>9.9772028625011444E-2</v>
      </c>
    </row>
    <row r="21" spans="1:23">
      <c r="A21" s="8">
        <v>39811</v>
      </c>
      <c r="B21" s="4">
        <v>7.3</v>
      </c>
      <c r="C21" s="4">
        <v>4.5</v>
      </c>
      <c r="D21" s="4">
        <v>0.91</v>
      </c>
      <c r="E21" s="4">
        <v>3.12</v>
      </c>
      <c r="F21" s="4">
        <v>3.24</v>
      </c>
      <c r="G21" s="4">
        <v>7.05</v>
      </c>
      <c r="I21" s="4">
        <v>1.3793322132335769E-2</v>
      </c>
      <c r="J21" s="4">
        <v>-2.1978906718775115E-2</v>
      </c>
      <c r="K21" s="4">
        <v>0</v>
      </c>
      <c r="L21" s="4">
        <v>1.2903404835908001E-2</v>
      </c>
      <c r="M21" s="4">
        <v>-3.6367644170874715E-2</v>
      </c>
      <c r="N21" s="4">
        <v>0</v>
      </c>
      <c r="P21" s="1" t="s">
        <v>6</v>
      </c>
      <c r="Q21" s="4">
        <v>10.7</v>
      </c>
      <c r="R21" s="23">
        <f t="shared" si="1"/>
        <v>26972.52781591683</v>
      </c>
      <c r="S21" s="22">
        <f t="shared" si="2"/>
        <v>288606.04763031006</v>
      </c>
      <c r="T21" s="33">
        <v>0.28860604763031006</v>
      </c>
      <c r="V21" s="18" t="s">
        <v>33</v>
      </c>
    </row>
    <row r="22" spans="1:23">
      <c r="A22" s="8">
        <v>39812</v>
      </c>
      <c r="B22" s="4">
        <v>7.05</v>
      </c>
      <c r="C22" s="4">
        <v>4.38</v>
      </c>
      <c r="D22" s="4">
        <v>0.91</v>
      </c>
      <c r="E22" s="4">
        <v>3.18</v>
      </c>
      <c r="F22" s="4">
        <v>3.16</v>
      </c>
      <c r="G22" s="4">
        <v>7.05</v>
      </c>
      <c r="I22" s="4">
        <v>-3.484673133016819E-2</v>
      </c>
      <c r="J22" s="4">
        <v>-2.7028672387919374E-2</v>
      </c>
      <c r="K22" s="4">
        <v>0</v>
      </c>
      <c r="L22" s="4">
        <v>1.9048194970694411E-2</v>
      </c>
      <c r="M22" s="4">
        <v>-2.500130220541727E-2</v>
      </c>
      <c r="N22" s="4">
        <v>0</v>
      </c>
      <c r="P22" s="1" t="s">
        <v>7</v>
      </c>
      <c r="Q22" s="4">
        <v>8.65</v>
      </c>
      <c r="R22" s="23">
        <f t="shared" si="1"/>
        <v>12035.620522636898</v>
      </c>
      <c r="S22" s="22">
        <f t="shared" si="2"/>
        <v>104108.11752080917</v>
      </c>
      <c r="T22" s="34">
        <v>0.10410811752080917</v>
      </c>
      <c r="V22" s="18" t="s">
        <v>34</v>
      </c>
    </row>
    <row r="23" spans="1:23">
      <c r="A23" s="8">
        <v>39818</v>
      </c>
      <c r="B23" s="4">
        <v>7.45</v>
      </c>
      <c r="C23" s="4">
        <v>4.66</v>
      </c>
      <c r="D23" s="4">
        <v>0.89</v>
      </c>
      <c r="E23" s="4">
        <v>3.22</v>
      </c>
      <c r="F23" s="4">
        <v>3.36</v>
      </c>
      <c r="G23" s="4">
        <v>7.4</v>
      </c>
      <c r="I23" s="4">
        <v>5.5186415567290939E-2</v>
      </c>
      <c r="J23" s="4">
        <v>6.1966723749199842E-2</v>
      </c>
      <c r="K23" s="4">
        <v>-2.2223136784710235E-2</v>
      </c>
      <c r="L23" s="4">
        <v>1.2500162764231468E-2</v>
      </c>
      <c r="M23" s="4">
        <v>6.1368946376292019E-2</v>
      </c>
      <c r="N23" s="4">
        <v>4.8452383385946957E-2</v>
      </c>
      <c r="P23" s="1" t="s">
        <v>8</v>
      </c>
      <c r="Q23" s="4">
        <v>21.9</v>
      </c>
      <c r="R23" s="23">
        <f t="shared" si="1"/>
        <v>11023.898783339759</v>
      </c>
      <c r="S23" s="22">
        <f t="shared" si="2"/>
        <v>241423.38335514069</v>
      </c>
      <c r="T23" s="34">
        <v>0.24142338335514069</v>
      </c>
    </row>
    <row r="24" spans="1:23">
      <c r="A24" s="8">
        <v>39819</v>
      </c>
      <c r="B24" s="4">
        <v>7.5</v>
      </c>
      <c r="C24" s="4">
        <v>4.5999999999999996</v>
      </c>
      <c r="D24" s="4">
        <v>0.89</v>
      </c>
      <c r="E24" s="4">
        <v>3.36</v>
      </c>
      <c r="F24" s="4">
        <v>3.26</v>
      </c>
      <c r="G24" s="4">
        <v>7.45</v>
      </c>
      <c r="I24" s="4">
        <v>6.6889881507964889E-3</v>
      </c>
      <c r="J24" s="4">
        <v>-1.2959144642505341E-2</v>
      </c>
      <c r="K24" s="4">
        <v>0</v>
      </c>
      <c r="L24" s="4">
        <v>4.2559614418795903E-2</v>
      </c>
      <c r="M24" s="4">
        <v>-3.0213778596496595E-2</v>
      </c>
      <c r="N24" s="4">
        <v>6.7340321813441194E-3</v>
      </c>
      <c r="P24" s="4"/>
      <c r="S24" s="21">
        <f>SUM(S18:S23)</f>
        <v>999999.98509883881</v>
      </c>
      <c r="T24" s="24">
        <f>SUM(T18:T23)</f>
        <v>0.99999998509883881</v>
      </c>
      <c r="V24" s="32" t="s">
        <v>40</v>
      </c>
      <c r="W24" s="15">
        <v>1.0468566417694092</v>
      </c>
    </row>
    <row r="25" spans="1:23">
      <c r="A25" s="8">
        <v>39820</v>
      </c>
      <c r="B25" s="4">
        <v>7.25</v>
      </c>
      <c r="C25" s="4">
        <v>4.5199999999999996</v>
      </c>
      <c r="D25" s="4">
        <v>0.87</v>
      </c>
      <c r="E25" s="4">
        <v>3.36</v>
      </c>
      <c r="F25" s="4">
        <v>3.2</v>
      </c>
      <c r="G25" s="4">
        <v>7.1</v>
      </c>
      <c r="I25" s="4">
        <v>-3.3901551675681339E-2</v>
      </c>
      <c r="J25" s="4">
        <v>-1.7544309650909508E-2</v>
      </c>
      <c r="K25" s="4">
        <v>-2.2728251077556175E-2</v>
      </c>
      <c r="L25" s="4">
        <v>0</v>
      </c>
      <c r="M25" s="4">
        <v>-1.8576385572935304E-2</v>
      </c>
      <c r="N25" s="4">
        <v>-4.8119248344198458E-2</v>
      </c>
      <c r="P25" s="4"/>
      <c r="V25" s="32" t="s">
        <v>38</v>
      </c>
      <c r="W25" s="15">
        <v>8.2852691411972046E-2</v>
      </c>
    </row>
    <row r="26" spans="1:23">
      <c r="A26" s="8">
        <v>39821</v>
      </c>
      <c r="B26" s="4">
        <v>7.15</v>
      </c>
      <c r="C26" s="4">
        <v>4.58</v>
      </c>
      <c r="D26" s="4">
        <v>0.93</v>
      </c>
      <c r="E26" s="4">
        <v>3.36</v>
      </c>
      <c r="F26" s="4">
        <v>3.28</v>
      </c>
      <c r="G26" s="4">
        <v>6.9</v>
      </c>
      <c r="I26" s="4">
        <v>-1.3889112160667037E-2</v>
      </c>
      <c r="J26" s="4">
        <v>1.31870042819539E-2</v>
      </c>
      <c r="K26" s="4">
        <v>6.6691374498672351E-2</v>
      </c>
      <c r="L26" s="4">
        <v>0</v>
      </c>
      <c r="M26" s="4">
        <v>2.4692612590371414E-2</v>
      </c>
      <c r="N26" s="4">
        <v>-2.8573372444055885E-2</v>
      </c>
      <c r="P26" s="25" t="s">
        <v>22</v>
      </c>
      <c r="Q26" s="17" t="s">
        <v>23</v>
      </c>
      <c r="V26" s="32" t="s">
        <v>39</v>
      </c>
      <c r="W26" s="15">
        <v>5.5263243615627289E-2</v>
      </c>
    </row>
    <row r="27" spans="1:23">
      <c r="A27" s="8">
        <v>39822</v>
      </c>
      <c r="B27" s="4">
        <v>7.15</v>
      </c>
      <c r="C27" s="4">
        <v>4.58</v>
      </c>
      <c r="D27" s="4">
        <v>0.89</v>
      </c>
      <c r="E27" s="4">
        <v>3.3</v>
      </c>
      <c r="F27" s="4">
        <v>3.18</v>
      </c>
      <c r="G27" s="4">
        <v>7.05</v>
      </c>
      <c r="I27" s="4">
        <v>0</v>
      </c>
      <c r="J27" s="4">
        <v>0</v>
      </c>
      <c r="K27" s="4">
        <v>-4.3963123421116176E-2</v>
      </c>
      <c r="L27" s="4">
        <v>-1.8018505502678365E-2</v>
      </c>
      <c r="M27" s="4">
        <v>-3.096222560396681E-2</v>
      </c>
      <c r="N27" s="4">
        <v>2.1506205220963463E-2</v>
      </c>
      <c r="P27" s="27">
        <v>1</v>
      </c>
      <c r="Q27" s="4">
        <v>144815.890625</v>
      </c>
      <c r="S27" s="14" t="s">
        <v>41</v>
      </c>
      <c r="T27" s="38">
        <v>-56242.166875000003</v>
      </c>
    </row>
    <row r="28" spans="1:23">
      <c r="A28" s="8">
        <v>39825</v>
      </c>
      <c r="B28" s="4">
        <v>7.15</v>
      </c>
      <c r="C28" s="4">
        <v>4.58</v>
      </c>
      <c r="D28" s="4">
        <v>0.9</v>
      </c>
      <c r="E28" s="4">
        <v>3.4</v>
      </c>
      <c r="F28" s="4">
        <v>3.28</v>
      </c>
      <c r="G28" s="4">
        <v>7.1</v>
      </c>
      <c r="I28" s="4">
        <v>0</v>
      </c>
      <c r="J28" s="4">
        <v>0</v>
      </c>
      <c r="K28" s="4">
        <v>1.1173300598125255E-2</v>
      </c>
      <c r="L28" s="4">
        <v>2.9852963149681128E-2</v>
      </c>
      <c r="M28" s="4">
        <v>3.096222560396689E-2</v>
      </c>
      <c r="N28" s="4">
        <v>7.0671672230923528E-3</v>
      </c>
      <c r="P28" s="27">
        <v>2</v>
      </c>
      <c r="Q28" s="4">
        <v>-21597.484375</v>
      </c>
      <c r="S28" s="14" t="s">
        <v>42</v>
      </c>
      <c r="T28" s="21">
        <v>91996.637370045981</v>
      </c>
    </row>
    <row r="29" spans="1:23">
      <c r="A29" s="8">
        <v>39826</v>
      </c>
      <c r="B29" s="4">
        <v>7.05</v>
      </c>
      <c r="C29" s="4">
        <v>4.5599999999999996</v>
      </c>
      <c r="D29" s="4">
        <v>0.87</v>
      </c>
      <c r="E29" s="4">
        <v>3.3</v>
      </c>
      <c r="F29" s="4">
        <v>3.22</v>
      </c>
      <c r="G29" s="4">
        <v>7.05</v>
      </c>
      <c r="I29" s="4">
        <v>-1.4084739881739085E-2</v>
      </c>
      <c r="J29" s="4">
        <v>-4.3763745997990001E-3</v>
      </c>
      <c r="K29" s="4">
        <v>-3.3901551675681339E-2</v>
      </c>
      <c r="L29" s="4">
        <v>-2.985296314968116E-2</v>
      </c>
      <c r="M29" s="4">
        <v>-1.8462062839735331E-2</v>
      </c>
      <c r="N29" s="4">
        <v>-7.067167223092443E-3</v>
      </c>
      <c r="P29" s="27">
        <v>3</v>
      </c>
      <c r="Q29" s="4">
        <v>213366.890625</v>
      </c>
      <c r="S29" s="14" t="s">
        <v>43</v>
      </c>
      <c r="T29" s="21">
        <v>18419.774592636517</v>
      </c>
    </row>
    <row r="30" spans="1:23">
      <c r="A30" s="8">
        <v>39827</v>
      </c>
      <c r="B30" s="4">
        <v>7</v>
      </c>
      <c r="C30" s="4">
        <v>4.4400000000000004</v>
      </c>
      <c r="D30" s="4">
        <v>0.88</v>
      </c>
      <c r="E30" s="4">
        <v>3.3</v>
      </c>
      <c r="F30" s="4">
        <v>3.12</v>
      </c>
      <c r="G30" s="4">
        <v>7</v>
      </c>
      <c r="I30" s="4">
        <v>-7.1174677688639896E-3</v>
      </c>
      <c r="J30" s="4">
        <v>-2.666824708216118E-2</v>
      </c>
      <c r="K30" s="4">
        <v>1.142869582362285E-2</v>
      </c>
      <c r="L30" s="4">
        <v>0</v>
      </c>
      <c r="M30" s="4">
        <v>-3.1548357734926008E-2</v>
      </c>
      <c r="N30" s="4">
        <v>-7.1174677688639896E-3</v>
      </c>
      <c r="P30" s="27">
        <v>4</v>
      </c>
      <c r="Q30" s="4">
        <v>49044.015625</v>
      </c>
    </row>
    <row r="31" spans="1:23">
      <c r="A31" s="8">
        <v>39828</v>
      </c>
      <c r="B31" s="4">
        <v>6.95</v>
      </c>
      <c r="C31" s="4">
        <v>4.26</v>
      </c>
      <c r="D31" s="4">
        <v>0.87</v>
      </c>
      <c r="E31" s="4">
        <v>3.24</v>
      </c>
      <c r="F31" s="4">
        <v>3</v>
      </c>
      <c r="G31" s="4">
        <v>7</v>
      </c>
      <c r="I31" s="4">
        <v>-7.168489478612516E-3</v>
      </c>
      <c r="J31" s="4">
        <v>-4.1385216162854482E-2</v>
      </c>
      <c r="K31" s="4">
        <v>-1.1428695823622744E-2</v>
      </c>
      <c r="L31" s="4">
        <v>-1.834913866819643E-2</v>
      </c>
      <c r="M31" s="4">
        <v>-3.9220713153281385E-2</v>
      </c>
      <c r="N31" s="4">
        <v>0</v>
      </c>
      <c r="P31" s="27">
        <v>5</v>
      </c>
      <c r="Q31" s="4">
        <v>47684.515625</v>
      </c>
    </row>
    <row r="32" spans="1:23">
      <c r="A32" s="8">
        <v>39829</v>
      </c>
      <c r="B32" s="4">
        <v>6.95</v>
      </c>
      <c r="C32" s="4">
        <v>4.4400000000000004</v>
      </c>
      <c r="D32" s="4">
        <v>0.87</v>
      </c>
      <c r="E32" s="4">
        <v>3.22</v>
      </c>
      <c r="F32" s="4">
        <v>3.06</v>
      </c>
      <c r="G32" s="4">
        <v>7.05</v>
      </c>
      <c r="I32" s="4">
        <v>0</v>
      </c>
      <c r="J32" s="4">
        <v>4.1385216162854489E-2</v>
      </c>
      <c r="K32" s="4">
        <v>0</v>
      </c>
      <c r="L32" s="4">
        <v>-6.191970247921107E-3</v>
      </c>
      <c r="M32" s="4">
        <v>1.980262729617973E-2</v>
      </c>
      <c r="N32" s="4">
        <v>7.1174677688639549E-3</v>
      </c>
      <c r="P32" s="27">
        <v>6</v>
      </c>
      <c r="Q32" s="4">
        <v>304515</v>
      </c>
    </row>
    <row r="33" spans="1:17">
      <c r="A33" s="8">
        <v>39832</v>
      </c>
      <c r="B33" s="4">
        <v>6.9</v>
      </c>
      <c r="C33" s="4">
        <v>4.5</v>
      </c>
      <c r="D33" s="4">
        <v>0.87</v>
      </c>
      <c r="E33" s="4">
        <v>3.3</v>
      </c>
      <c r="F33" s="4">
        <v>3.1</v>
      </c>
      <c r="G33" s="4">
        <v>7.05</v>
      </c>
      <c r="I33" s="4">
        <v>-7.2202479734870201E-3</v>
      </c>
      <c r="J33" s="4">
        <v>1.342302033214055E-2</v>
      </c>
      <c r="K33" s="4">
        <v>0</v>
      </c>
      <c r="L33" s="4">
        <v>2.4541108916117445E-2</v>
      </c>
      <c r="M33" s="4">
        <v>1.2987195526811112E-2</v>
      </c>
      <c r="N33" s="4">
        <v>0</v>
      </c>
      <c r="P33" s="27">
        <v>7</v>
      </c>
      <c r="Q33" s="4">
        <v>-2104.235107421875</v>
      </c>
    </row>
    <row r="34" spans="1:17">
      <c r="A34" s="8">
        <v>39833</v>
      </c>
      <c r="B34" s="4">
        <v>6.9</v>
      </c>
      <c r="C34" s="4">
        <v>4.38</v>
      </c>
      <c r="D34" s="4">
        <v>0.97</v>
      </c>
      <c r="E34" s="4">
        <v>3.26</v>
      </c>
      <c r="F34" s="4">
        <v>3.34</v>
      </c>
      <c r="G34" s="4">
        <v>7.1</v>
      </c>
      <c r="I34" s="4">
        <v>0</v>
      </c>
      <c r="J34" s="4">
        <v>-2.7028672387919374E-2</v>
      </c>
      <c r="K34" s="4">
        <v>0.10880285984879917</v>
      </c>
      <c r="L34" s="4">
        <v>-1.2195273093818243E-2</v>
      </c>
      <c r="M34" s="4">
        <v>7.4568695497508469E-2</v>
      </c>
      <c r="N34" s="4">
        <v>7.0671672230923528E-3</v>
      </c>
      <c r="P34" s="27">
        <v>8</v>
      </c>
      <c r="Q34" s="4">
        <v>28501.203125</v>
      </c>
    </row>
    <row r="35" spans="1:17">
      <c r="A35" s="8">
        <v>39834</v>
      </c>
      <c r="B35" s="4">
        <v>6.8</v>
      </c>
      <c r="C35" s="4">
        <v>4.3600000000000003</v>
      </c>
      <c r="D35" s="4">
        <v>0.93</v>
      </c>
      <c r="E35" s="4">
        <v>3.28</v>
      </c>
      <c r="F35" s="4">
        <v>3.44</v>
      </c>
      <c r="G35" s="4">
        <v>7.15</v>
      </c>
      <c r="I35" s="4">
        <v>-1.4598799421152749E-2</v>
      </c>
      <c r="J35" s="4">
        <v>-4.5766670274117547E-3</v>
      </c>
      <c r="K35" s="4">
        <v>-4.2111485350126848E-2</v>
      </c>
      <c r="L35" s="4">
        <v>6.1162270174360536E-3</v>
      </c>
      <c r="M35" s="4">
        <v>2.9500664396698056E-2</v>
      </c>
      <c r="N35" s="4">
        <v>7.0175726586465398E-3</v>
      </c>
      <c r="P35" s="27">
        <v>9</v>
      </c>
      <c r="Q35" s="4">
        <v>90172.140625</v>
      </c>
    </row>
    <row r="36" spans="1:17">
      <c r="A36" s="8">
        <v>39835</v>
      </c>
      <c r="B36" s="4">
        <v>6.65</v>
      </c>
      <c r="C36" s="4">
        <v>4.38</v>
      </c>
      <c r="D36" s="4">
        <v>0.9</v>
      </c>
      <c r="E36" s="4">
        <v>3.28</v>
      </c>
      <c r="F36" s="4">
        <v>3.26</v>
      </c>
      <c r="G36" s="4">
        <v>7.1</v>
      </c>
      <c r="I36" s="4">
        <v>-2.2305757514298162E-2</v>
      </c>
      <c r="J36" s="4">
        <v>4.5766670274116732E-3</v>
      </c>
      <c r="K36" s="4">
        <v>-3.2789822822990956E-2</v>
      </c>
      <c r="L36" s="4">
        <v>0</v>
      </c>
      <c r="M36" s="4">
        <v>-5.3744276006690808E-2</v>
      </c>
      <c r="N36" s="4">
        <v>-7.0175726586466465E-3</v>
      </c>
      <c r="P36" s="27">
        <v>10</v>
      </c>
      <c r="Q36" s="4">
        <v>78177.015625</v>
      </c>
    </row>
    <row r="37" spans="1:17">
      <c r="A37" s="8">
        <v>39836</v>
      </c>
      <c r="B37" s="4">
        <v>6.6</v>
      </c>
      <c r="C37" s="4">
        <v>4.34</v>
      </c>
      <c r="D37" s="4">
        <v>0.88</v>
      </c>
      <c r="E37" s="4">
        <v>3.24</v>
      </c>
      <c r="F37" s="4">
        <v>3.18</v>
      </c>
      <c r="G37" s="4">
        <v>7.05</v>
      </c>
      <c r="I37" s="4">
        <v>-7.5472056353829663E-3</v>
      </c>
      <c r="J37" s="4">
        <v>-9.1743762760412694E-3</v>
      </c>
      <c r="K37" s="4">
        <v>-2.2472855852058628E-2</v>
      </c>
      <c r="L37" s="4">
        <v>-1.2270092591814247E-2</v>
      </c>
      <c r="M37" s="4">
        <v>-2.4845998586530662E-2</v>
      </c>
      <c r="N37" s="4">
        <v>-7.067167223092443E-3</v>
      </c>
      <c r="P37" s="28">
        <v>11</v>
      </c>
      <c r="Q37" s="4">
        <v>133329.515625</v>
      </c>
    </row>
    <row r="38" spans="1:17">
      <c r="A38" s="8">
        <v>39839</v>
      </c>
      <c r="B38" s="4">
        <v>6.7</v>
      </c>
      <c r="C38" s="4">
        <v>4.3600000000000003</v>
      </c>
      <c r="D38" s="4">
        <v>0.9</v>
      </c>
      <c r="E38" s="4">
        <v>3.24</v>
      </c>
      <c r="F38" s="4">
        <v>3.22</v>
      </c>
      <c r="G38" s="4">
        <v>7.1</v>
      </c>
      <c r="I38" s="4">
        <v>1.5037877364540502E-2</v>
      </c>
      <c r="J38" s="4">
        <v>4.5977092486295494E-3</v>
      </c>
      <c r="K38" s="4">
        <v>2.2472855852058576E-2</v>
      </c>
      <c r="L38" s="4">
        <v>0</v>
      </c>
      <c r="M38" s="4">
        <v>1.2500162764231468E-2</v>
      </c>
      <c r="N38" s="4">
        <v>7.0671672230923528E-3</v>
      </c>
      <c r="P38" s="28">
        <v>12</v>
      </c>
      <c r="Q38" s="4">
        <v>197203.765625</v>
      </c>
    </row>
    <row r="39" spans="1:17">
      <c r="A39" s="8">
        <v>39840</v>
      </c>
      <c r="B39" s="4">
        <v>6.85</v>
      </c>
      <c r="C39" s="4">
        <v>4.42</v>
      </c>
      <c r="D39" s="4">
        <v>0.92</v>
      </c>
      <c r="E39" s="4">
        <v>3.3</v>
      </c>
      <c r="F39" s="4">
        <v>3.26</v>
      </c>
      <c r="G39" s="4">
        <v>7.25</v>
      </c>
      <c r="I39" s="4">
        <v>2.2141125877213501E-2</v>
      </c>
      <c r="J39" s="4">
        <v>1.3667638728663615E-2</v>
      </c>
      <c r="K39" s="4">
        <v>2.1978906718775167E-2</v>
      </c>
      <c r="L39" s="4">
        <v>1.8349138668196398E-2</v>
      </c>
      <c r="M39" s="4">
        <v>1.2345835822299141E-2</v>
      </c>
      <c r="N39" s="4">
        <v>2.0906684819313643E-2</v>
      </c>
      <c r="P39" s="28">
        <v>13</v>
      </c>
      <c r="Q39" s="4">
        <v>185226.390625</v>
      </c>
    </row>
    <row r="40" spans="1:17">
      <c r="A40" s="8">
        <v>39841</v>
      </c>
      <c r="B40" s="4">
        <v>7</v>
      </c>
      <c r="C40" s="4">
        <v>4.5</v>
      </c>
      <c r="D40" s="4">
        <v>0.93</v>
      </c>
      <c r="E40" s="4">
        <v>3.34</v>
      </c>
      <c r="F40" s="4">
        <v>3.22</v>
      </c>
      <c r="G40" s="4">
        <v>7.2</v>
      </c>
      <c r="I40" s="4">
        <v>2.1661496781179467E-2</v>
      </c>
      <c r="J40" s="4">
        <v>1.7937700686667252E-2</v>
      </c>
      <c r="K40" s="4">
        <v>1.0810916104215676E-2</v>
      </c>
      <c r="L40" s="4">
        <v>1.2048338516174574E-2</v>
      </c>
      <c r="M40" s="4">
        <v>-1.2345835822299266E-2</v>
      </c>
      <c r="N40" s="4">
        <v>-6.9204428445737952E-3</v>
      </c>
      <c r="P40" s="28">
        <v>14</v>
      </c>
      <c r="Q40" s="4">
        <v>-55556.484375</v>
      </c>
    </row>
    <row r="41" spans="1:17">
      <c r="A41" s="8">
        <v>39842</v>
      </c>
      <c r="B41" s="4">
        <v>6.8</v>
      </c>
      <c r="C41" s="4">
        <v>4.26</v>
      </c>
      <c r="D41" s="4">
        <v>0.93</v>
      </c>
      <c r="E41" s="4">
        <v>3.32</v>
      </c>
      <c r="F41" s="4">
        <v>3.06</v>
      </c>
      <c r="G41" s="4">
        <v>7.25</v>
      </c>
      <c r="I41" s="4">
        <v>-2.8987536873252298E-2</v>
      </c>
      <c r="J41" s="4">
        <v>-5.4808236494995027E-2</v>
      </c>
      <c r="K41" s="4">
        <v>0</v>
      </c>
      <c r="L41" s="4">
        <v>-6.0060240602119218E-3</v>
      </c>
      <c r="M41" s="4">
        <v>-5.0966443592027628E-2</v>
      </c>
      <c r="N41" s="4">
        <v>6.920442844573757E-3</v>
      </c>
      <c r="P41" s="28">
        <v>15</v>
      </c>
      <c r="Q41" s="4">
        <v>59894.515625</v>
      </c>
    </row>
    <row r="42" spans="1:17">
      <c r="A42" s="8">
        <v>39843</v>
      </c>
      <c r="B42" s="4">
        <v>6.95</v>
      </c>
      <c r="C42" s="4">
        <v>4.28</v>
      </c>
      <c r="D42" s="4">
        <v>0.91</v>
      </c>
      <c r="E42" s="4">
        <v>3.3</v>
      </c>
      <c r="F42" s="4">
        <v>3.1</v>
      </c>
      <c r="G42" s="4">
        <v>7.45</v>
      </c>
      <c r="I42" s="4">
        <v>2.1819047394639888E-2</v>
      </c>
      <c r="J42" s="4">
        <v>4.6838493124264375E-3</v>
      </c>
      <c r="K42" s="4">
        <v>-2.1739986636405875E-2</v>
      </c>
      <c r="L42" s="4">
        <v>-6.0423144559625863E-3</v>
      </c>
      <c r="M42" s="4">
        <v>1.2987195526811112E-2</v>
      </c>
      <c r="N42" s="4">
        <v>2.7212563524884794E-2</v>
      </c>
      <c r="P42" s="28">
        <v>16</v>
      </c>
      <c r="Q42" s="4">
        <v>223465.015625</v>
      </c>
    </row>
    <row r="43" spans="1:17">
      <c r="A43" s="8">
        <v>39846</v>
      </c>
      <c r="B43" s="4">
        <v>6.7</v>
      </c>
      <c r="C43" s="4">
        <v>4</v>
      </c>
      <c r="D43" s="4">
        <v>0.89</v>
      </c>
      <c r="E43" s="4">
        <v>3.32</v>
      </c>
      <c r="F43" s="4">
        <v>3.02</v>
      </c>
      <c r="G43" s="4">
        <v>7.35</v>
      </c>
      <c r="I43" s="4">
        <v>-3.6634133179780384E-2</v>
      </c>
      <c r="J43" s="4">
        <v>-6.7658648473814809E-2</v>
      </c>
      <c r="K43" s="4">
        <v>-2.2223136784710235E-2</v>
      </c>
      <c r="L43" s="4">
        <v>6.0423144559626617E-3</v>
      </c>
      <c r="M43" s="4">
        <v>-2.614528010432236E-2</v>
      </c>
      <c r="N43" s="4">
        <v>-1.3513719166722933E-2</v>
      </c>
      <c r="P43" s="28">
        <v>17</v>
      </c>
      <c r="Q43" s="4">
        <v>315936.125</v>
      </c>
    </row>
    <row r="44" spans="1:17">
      <c r="A44" s="8">
        <v>39847</v>
      </c>
      <c r="B44" s="4">
        <v>6.9</v>
      </c>
      <c r="C44" s="4">
        <v>3.86</v>
      </c>
      <c r="D44" s="4">
        <v>0.89</v>
      </c>
      <c r="E44" s="4">
        <v>3.34</v>
      </c>
      <c r="F44" s="4">
        <v>3.06</v>
      </c>
      <c r="G44" s="4">
        <v>7.45</v>
      </c>
      <c r="I44" s="4">
        <v>2.9413885206293407E-2</v>
      </c>
      <c r="J44" s="4">
        <v>-3.562717764315116E-2</v>
      </c>
      <c r="K44" s="4">
        <v>0</v>
      </c>
      <c r="L44" s="4">
        <v>6.0060240602119487E-3</v>
      </c>
      <c r="M44" s="4">
        <v>1.3158084577511201E-2</v>
      </c>
      <c r="N44" s="4">
        <v>1.3513719166722855E-2</v>
      </c>
      <c r="P44" s="28">
        <v>18</v>
      </c>
      <c r="Q44" s="4">
        <v>121249.765625</v>
      </c>
    </row>
    <row r="45" spans="1:17">
      <c r="A45" s="8">
        <v>39848</v>
      </c>
      <c r="B45" s="4">
        <v>6.85</v>
      </c>
      <c r="C45" s="4">
        <v>3.96</v>
      </c>
      <c r="D45" s="4">
        <v>0.91</v>
      </c>
      <c r="E45" s="4">
        <v>3.34</v>
      </c>
      <c r="F45" s="4">
        <v>3.08</v>
      </c>
      <c r="G45" s="4">
        <v>7.7</v>
      </c>
      <c r="I45" s="4">
        <v>-7.2727593290799206E-3</v>
      </c>
      <c r="J45" s="4">
        <v>2.5576841789649776E-2</v>
      </c>
      <c r="K45" s="4">
        <v>2.2223136784710256E-2</v>
      </c>
      <c r="L45" s="4">
        <v>0</v>
      </c>
      <c r="M45" s="4">
        <v>6.5146810211936723E-3</v>
      </c>
      <c r="N45" s="4">
        <v>3.3006296468170077E-2</v>
      </c>
      <c r="P45" s="28">
        <v>19</v>
      </c>
      <c r="Q45" s="4">
        <v>230593.140625</v>
      </c>
    </row>
    <row r="46" spans="1:17">
      <c r="A46" s="8">
        <v>39849</v>
      </c>
      <c r="B46" s="4">
        <v>6.9</v>
      </c>
      <c r="C46" s="4">
        <v>4</v>
      </c>
      <c r="D46" s="4">
        <v>0.91</v>
      </c>
      <c r="E46" s="4">
        <v>3.34</v>
      </c>
      <c r="F46" s="4">
        <v>3.12</v>
      </c>
      <c r="G46" s="4">
        <v>7.75</v>
      </c>
      <c r="I46" s="4">
        <v>7.2727593290798781E-3</v>
      </c>
      <c r="J46" s="4">
        <v>1.0050335853501506E-2</v>
      </c>
      <c r="K46" s="4">
        <v>0</v>
      </c>
      <c r="L46" s="4">
        <v>0</v>
      </c>
      <c r="M46" s="4">
        <v>1.2903404835908001E-2</v>
      </c>
      <c r="N46" s="4">
        <v>6.4725145056175196E-3</v>
      </c>
      <c r="P46" s="28">
        <v>20</v>
      </c>
      <c r="Q46" s="4">
        <v>-594.110107421875</v>
      </c>
    </row>
    <row r="47" spans="1:17">
      <c r="A47" s="8">
        <v>39850</v>
      </c>
      <c r="B47" s="4">
        <v>7</v>
      </c>
      <c r="C47" s="4">
        <v>4.0999999999999996</v>
      </c>
      <c r="D47" s="4">
        <v>0.9</v>
      </c>
      <c r="E47" s="4">
        <v>3.38</v>
      </c>
      <c r="F47" s="4">
        <v>3.18</v>
      </c>
      <c r="G47" s="4">
        <v>7.8</v>
      </c>
      <c r="I47" s="4">
        <v>1.4388737452099452E-2</v>
      </c>
      <c r="J47" s="4">
        <v>2.4692612590371414E-2</v>
      </c>
      <c r="K47" s="4">
        <v>-1.1049836186584935E-2</v>
      </c>
      <c r="L47" s="4">
        <v>1.1904902506318458E-2</v>
      </c>
      <c r="M47" s="4">
        <v>1.9048194970694411E-2</v>
      </c>
      <c r="N47" s="4">
        <v>6.4308903302903314E-3</v>
      </c>
      <c r="P47" s="28">
        <v>21</v>
      </c>
      <c r="Q47" s="4">
        <v>-2115.672607421875</v>
      </c>
    </row>
    <row r="48" spans="1:17">
      <c r="A48" s="8">
        <v>39854</v>
      </c>
      <c r="B48" s="4">
        <v>7.05</v>
      </c>
      <c r="C48" s="4">
        <v>4.04</v>
      </c>
      <c r="D48" s="4">
        <v>0.88</v>
      </c>
      <c r="E48" s="4">
        <v>3.4</v>
      </c>
      <c r="F48" s="4">
        <v>3.1</v>
      </c>
      <c r="G48" s="4">
        <v>7.85</v>
      </c>
      <c r="I48" s="4">
        <v>7.1174677688639549E-3</v>
      </c>
      <c r="J48" s="4">
        <v>-1.4742281737203319E-2</v>
      </c>
      <c r="K48" s="4">
        <v>-2.2472855852058628E-2</v>
      </c>
      <c r="L48" s="4">
        <v>5.899722127188322E-3</v>
      </c>
      <c r="M48" s="4">
        <v>-2.5479085300984899E-2</v>
      </c>
      <c r="N48" s="4">
        <v>6.3897980987709883E-3</v>
      </c>
      <c r="P48" s="28">
        <v>22</v>
      </c>
      <c r="Q48" s="4">
        <v>77.952400207519531</v>
      </c>
    </row>
    <row r="49" spans="1:17">
      <c r="A49" s="8">
        <v>39855</v>
      </c>
      <c r="B49" s="4">
        <v>7</v>
      </c>
      <c r="C49" s="4">
        <v>4.0199999999999996</v>
      </c>
      <c r="D49" s="4">
        <v>0.84</v>
      </c>
      <c r="E49" s="4">
        <v>3.38</v>
      </c>
      <c r="F49" s="4">
        <v>3.1</v>
      </c>
      <c r="G49" s="4">
        <v>7.7</v>
      </c>
      <c r="I49" s="4">
        <v>-7.1174677688639896E-3</v>
      </c>
      <c r="J49" s="4">
        <v>-4.9627893421291249E-3</v>
      </c>
      <c r="K49" s="4">
        <v>-4.6520015634892928E-2</v>
      </c>
      <c r="L49" s="4">
        <v>-5.8997221271882708E-3</v>
      </c>
      <c r="M49" s="4">
        <v>0</v>
      </c>
      <c r="N49" s="4">
        <v>-1.9293202934678781E-2</v>
      </c>
      <c r="P49" s="28">
        <v>23</v>
      </c>
      <c r="Q49" s="4">
        <v>18013.453125</v>
      </c>
    </row>
    <row r="50" spans="1:17">
      <c r="A50" s="8">
        <v>39856</v>
      </c>
      <c r="B50" s="4">
        <v>7.1</v>
      </c>
      <c r="C50" s="4">
        <v>3.98</v>
      </c>
      <c r="D50" s="4">
        <v>0.86</v>
      </c>
      <c r="E50" s="4">
        <v>3.38</v>
      </c>
      <c r="F50" s="4">
        <v>3.14</v>
      </c>
      <c r="G50" s="4">
        <v>7.6</v>
      </c>
      <c r="I50" s="4">
        <v>1.4184634991956381E-2</v>
      </c>
      <c r="J50" s="4">
        <v>-1.0000083334583311E-2</v>
      </c>
      <c r="K50" s="4">
        <v>2.3530497410194036E-2</v>
      </c>
      <c r="L50" s="4">
        <v>0</v>
      </c>
      <c r="M50" s="4">
        <v>1.2820688429061469E-2</v>
      </c>
      <c r="N50" s="4">
        <v>-1.3072081567352888E-2</v>
      </c>
      <c r="P50" s="28">
        <v>24</v>
      </c>
      <c r="Q50" s="4">
        <v>14695.1396484375</v>
      </c>
    </row>
    <row r="51" spans="1:17">
      <c r="A51" s="8">
        <v>39857</v>
      </c>
      <c r="B51" s="4">
        <v>7.15</v>
      </c>
      <c r="C51" s="4">
        <v>4</v>
      </c>
      <c r="D51" s="4">
        <v>0.83</v>
      </c>
      <c r="E51" s="4">
        <v>3.4</v>
      </c>
      <c r="F51" s="4">
        <v>3.12</v>
      </c>
      <c r="G51" s="4">
        <v>7.8</v>
      </c>
      <c r="I51" s="4">
        <v>7.0175726586465398E-3</v>
      </c>
      <c r="J51" s="4">
        <v>5.0125418235441935E-3</v>
      </c>
      <c r="K51" s="4">
        <v>-3.5506688456909873E-2</v>
      </c>
      <c r="L51" s="4">
        <v>5.899722127188322E-3</v>
      </c>
      <c r="M51" s="4">
        <v>-6.38979809877101E-3</v>
      </c>
      <c r="N51" s="4">
        <v>2.5975486403260736E-2</v>
      </c>
      <c r="P51" s="28">
        <v>25</v>
      </c>
      <c r="Q51" s="4">
        <v>49617.515625</v>
      </c>
    </row>
    <row r="52" spans="1:17">
      <c r="A52" s="8">
        <v>39860</v>
      </c>
      <c r="B52" s="4">
        <v>7.25</v>
      </c>
      <c r="C52" s="4">
        <v>3.96</v>
      </c>
      <c r="D52" s="4">
        <v>0.83</v>
      </c>
      <c r="E52" s="4">
        <v>3.42</v>
      </c>
      <c r="F52" s="4">
        <v>3.1</v>
      </c>
      <c r="G52" s="4">
        <v>8</v>
      </c>
      <c r="I52" s="4">
        <v>1.3889112160667093E-2</v>
      </c>
      <c r="J52" s="4">
        <v>-1.0050335853501451E-2</v>
      </c>
      <c r="K52" s="4">
        <v>0</v>
      </c>
      <c r="L52" s="4">
        <v>5.8651194523980576E-3</v>
      </c>
      <c r="M52" s="4">
        <v>-6.4308903302904025E-3</v>
      </c>
      <c r="N52" s="4">
        <v>2.5317807984290001E-2</v>
      </c>
      <c r="P52" s="28">
        <v>26</v>
      </c>
      <c r="Q52" s="4">
        <v>16628.328125</v>
      </c>
    </row>
    <row r="53" spans="1:17">
      <c r="A53" s="8">
        <v>39861</v>
      </c>
      <c r="B53" s="4">
        <v>7.05</v>
      </c>
      <c r="C53" s="4">
        <v>3.88</v>
      </c>
      <c r="D53" s="4">
        <v>0.82</v>
      </c>
      <c r="E53" s="4">
        <v>3.42</v>
      </c>
      <c r="F53" s="4">
        <v>3.08</v>
      </c>
      <c r="G53" s="4">
        <v>7.75</v>
      </c>
      <c r="I53" s="4">
        <v>-2.797385204240618E-2</v>
      </c>
      <c r="J53" s="4">
        <v>-2.0408871631207123E-2</v>
      </c>
      <c r="K53" s="4">
        <v>-1.212136053234485E-2</v>
      </c>
      <c r="L53" s="4">
        <v>0</v>
      </c>
      <c r="M53" s="4">
        <v>-6.4725145056174788E-3</v>
      </c>
      <c r="N53" s="4">
        <v>-3.1748698314580298E-2</v>
      </c>
      <c r="P53" s="28">
        <v>27</v>
      </c>
      <c r="Q53" s="4">
        <v>-56522.234375</v>
      </c>
    </row>
    <row r="54" spans="1:17">
      <c r="A54" s="8">
        <v>39862</v>
      </c>
      <c r="B54" s="4">
        <v>7.1</v>
      </c>
      <c r="C54" s="4">
        <v>3.84</v>
      </c>
      <c r="D54" s="4">
        <v>0.84</v>
      </c>
      <c r="E54" s="4">
        <v>3.42</v>
      </c>
      <c r="F54" s="4">
        <v>3.06</v>
      </c>
      <c r="G54" s="4">
        <v>8</v>
      </c>
      <c r="I54" s="4">
        <v>7.0671672230923528E-3</v>
      </c>
      <c r="J54" s="4">
        <v>-1.0362787035546547E-2</v>
      </c>
      <c r="K54" s="4">
        <v>2.4097551579060524E-2</v>
      </c>
      <c r="L54" s="4">
        <v>0</v>
      </c>
      <c r="M54" s="4">
        <v>-6.5146810211937538E-3</v>
      </c>
      <c r="N54" s="4">
        <v>3.174869831458027E-2</v>
      </c>
      <c r="P54" s="28">
        <v>28</v>
      </c>
      <c r="Q54" s="4">
        <v>103953.890625</v>
      </c>
    </row>
    <row r="55" spans="1:17">
      <c r="A55" s="8">
        <v>39863</v>
      </c>
      <c r="B55" s="4">
        <v>7.1</v>
      </c>
      <c r="C55" s="4">
        <v>3.92</v>
      </c>
      <c r="D55" s="4">
        <v>0.82</v>
      </c>
      <c r="E55" s="4">
        <v>3.48</v>
      </c>
      <c r="F55" s="4">
        <v>3.06</v>
      </c>
      <c r="G55" s="4">
        <v>7.95</v>
      </c>
      <c r="I55" s="4">
        <v>0</v>
      </c>
      <c r="J55" s="4">
        <v>2.061928720273561E-2</v>
      </c>
      <c r="K55" s="4">
        <v>-2.409755157906053E-2</v>
      </c>
      <c r="L55" s="4">
        <v>1.7391742711869239E-2</v>
      </c>
      <c r="M55" s="4">
        <v>0</v>
      </c>
      <c r="N55" s="4">
        <v>-6.2696130135953742E-3</v>
      </c>
      <c r="P55" s="28">
        <v>29</v>
      </c>
      <c r="Q55" s="4">
        <v>131872.265625</v>
      </c>
    </row>
    <row r="56" spans="1:17">
      <c r="A56" s="8">
        <v>39864</v>
      </c>
      <c r="B56" s="4">
        <v>7.15</v>
      </c>
      <c r="C56" s="4">
        <v>3.86</v>
      </c>
      <c r="D56" s="4">
        <v>0.81</v>
      </c>
      <c r="E56" s="4">
        <v>3.48</v>
      </c>
      <c r="F56" s="4">
        <v>2.96</v>
      </c>
      <c r="G56" s="4">
        <v>7.85</v>
      </c>
      <c r="I56" s="4">
        <v>7.0175726586465398E-3</v>
      </c>
      <c r="J56" s="4">
        <v>-1.5424470325631639E-2</v>
      </c>
      <c r="K56" s="4">
        <v>-1.2270092591814247E-2</v>
      </c>
      <c r="L56" s="4">
        <v>0</v>
      </c>
      <c r="M56" s="4">
        <v>-3.3225647628320393E-2</v>
      </c>
      <c r="N56" s="4">
        <v>-1.2658396871923577E-2</v>
      </c>
      <c r="P56" s="28">
        <v>30</v>
      </c>
      <c r="Q56" s="4">
        <v>140355.890625</v>
      </c>
    </row>
    <row r="57" spans="1:17">
      <c r="A57" s="8">
        <v>39867</v>
      </c>
      <c r="B57" s="4">
        <v>7.15</v>
      </c>
      <c r="C57" s="4">
        <v>3.92</v>
      </c>
      <c r="D57" s="4">
        <v>0.8</v>
      </c>
      <c r="E57" s="4">
        <v>3.44</v>
      </c>
      <c r="F57" s="4">
        <v>2.96</v>
      </c>
      <c r="G57" s="4">
        <v>7.9</v>
      </c>
      <c r="I57" s="4">
        <v>0</v>
      </c>
      <c r="J57" s="4">
        <v>1.5424470325631731E-2</v>
      </c>
      <c r="K57" s="4">
        <v>-1.2422519998557209E-2</v>
      </c>
      <c r="L57" s="4">
        <v>-1.1560822401075971E-2</v>
      </c>
      <c r="M57" s="4">
        <v>0</v>
      </c>
      <c r="N57" s="4">
        <v>6.3492276786587445E-3</v>
      </c>
    </row>
    <row r="58" spans="1:17">
      <c r="A58" s="8">
        <v>39868</v>
      </c>
      <c r="B58" s="4">
        <v>7</v>
      </c>
      <c r="C58" s="4">
        <v>3.9</v>
      </c>
      <c r="D58" s="4">
        <v>0.79</v>
      </c>
      <c r="E58" s="4">
        <v>3.44</v>
      </c>
      <c r="F58" s="4">
        <v>2.94</v>
      </c>
      <c r="G58" s="4">
        <v>7.85</v>
      </c>
      <c r="I58" s="4">
        <v>-2.1202207650603051E-2</v>
      </c>
      <c r="J58" s="4">
        <v>-5.1151006667703768E-3</v>
      </c>
      <c r="K58" s="4">
        <v>-1.2578782206860073E-2</v>
      </c>
      <c r="L58" s="4">
        <v>0</v>
      </c>
      <c r="M58" s="4">
        <v>-6.7796869853788038E-3</v>
      </c>
      <c r="N58" s="4">
        <v>-6.3492276786588919E-3</v>
      </c>
    </row>
    <row r="59" spans="1:17">
      <c r="A59" s="8">
        <v>39869</v>
      </c>
      <c r="B59" s="4">
        <v>7.1</v>
      </c>
      <c r="C59" s="4">
        <v>3.92</v>
      </c>
      <c r="D59" s="4">
        <v>0.79</v>
      </c>
      <c r="E59" s="4">
        <v>3.38</v>
      </c>
      <c r="F59" s="4">
        <v>2.94</v>
      </c>
      <c r="G59" s="4">
        <v>8</v>
      </c>
      <c r="I59" s="4">
        <v>1.4184634991956381E-2</v>
      </c>
      <c r="J59" s="4">
        <v>5.1151006667704089E-3</v>
      </c>
      <c r="K59" s="4">
        <v>0</v>
      </c>
      <c r="L59" s="4">
        <v>-1.7595761890379601E-2</v>
      </c>
      <c r="M59" s="4">
        <v>0</v>
      </c>
      <c r="N59" s="4">
        <v>1.8928009885518859E-2</v>
      </c>
    </row>
    <row r="60" spans="1:17">
      <c r="A60" s="8">
        <v>39870</v>
      </c>
      <c r="B60" s="4">
        <v>7.35</v>
      </c>
      <c r="C60" s="4">
        <v>3.94</v>
      </c>
      <c r="D60" s="4">
        <v>0.78</v>
      </c>
      <c r="E60" s="4">
        <v>3.4</v>
      </c>
      <c r="F60" s="4">
        <v>2.94</v>
      </c>
      <c r="G60" s="4">
        <v>8.0500000000000007</v>
      </c>
      <c r="I60" s="4">
        <v>3.4605529177475523E-2</v>
      </c>
      <c r="J60" s="4">
        <v>5.0890695074712281E-3</v>
      </c>
      <c r="K60" s="4">
        <v>-1.2739025777429714E-2</v>
      </c>
      <c r="L60" s="4">
        <v>5.899722127188322E-3</v>
      </c>
      <c r="M60" s="4">
        <v>0</v>
      </c>
      <c r="N60" s="4">
        <v>6.2305497506361628E-3</v>
      </c>
    </row>
    <row r="61" spans="1:17">
      <c r="A61" s="8">
        <v>39871</v>
      </c>
      <c r="B61" s="4">
        <v>7.5</v>
      </c>
      <c r="C61" s="4">
        <v>3.94</v>
      </c>
      <c r="D61" s="4">
        <v>0.79</v>
      </c>
      <c r="E61" s="4">
        <v>3.38</v>
      </c>
      <c r="F61" s="4">
        <v>2.88</v>
      </c>
      <c r="G61" s="4">
        <v>8.0500000000000007</v>
      </c>
      <c r="I61" s="4">
        <v>2.0202707317519469E-2</v>
      </c>
      <c r="J61" s="4">
        <v>0</v>
      </c>
      <c r="K61" s="4">
        <v>1.2739025777429712E-2</v>
      </c>
      <c r="L61" s="4">
        <v>-5.8997221271882708E-3</v>
      </c>
      <c r="M61" s="4">
        <v>-2.0619287202735703E-2</v>
      </c>
      <c r="N61" s="4">
        <v>0</v>
      </c>
    </row>
    <row r="62" spans="1:17">
      <c r="A62" s="8">
        <v>39874</v>
      </c>
      <c r="B62" s="4">
        <v>7.2</v>
      </c>
      <c r="C62" s="4">
        <v>3.84</v>
      </c>
      <c r="D62" s="4">
        <v>0.78</v>
      </c>
      <c r="E62" s="4">
        <v>3.28</v>
      </c>
      <c r="F62" s="4">
        <v>2.66</v>
      </c>
      <c r="G62" s="4">
        <v>7.9</v>
      </c>
      <c r="I62" s="4">
        <v>-4.0821994520255048E-2</v>
      </c>
      <c r="J62" s="4">
        <v>-2.5708356710207037E-2</v>
      </c>
      <c r="K62" s="4">
        <v>-1.2739025777429714E-2</v>
      </c>
      <c r="L62" s="4">
        <v>-3.003228709887509E-2</v>
      </c>
      <c r="M62" s="4">
        <v>-7.9464171354246799E-2</v>
      </c>
      <c r="N62" s="4">
        <v>-1.8809331957496227E-2</v>
      </c>
    </row>
    <row r="63" spans="1:17">
      <c r="A63" s="8">
        <v>39875</v>
      </c>
      <c r="B63" s="4">
        <v>7.2</v>
      </c>
      <c r="C63" s="4">
        <v>3.86</v>
      </c>
      <c r="D63" s="4">
        <v>0.77</v>
      </c>
      <c r="E63" s="4">
        <v>3.24</v>
      </c>
      <c r="F63" s="4">
        <v>2.62</v>
      </c>
      <c r="G63" s="4">
        <v>7.9</v>
      </c>
      <c r="I63" s="4">
        <v>0</v>
      </c>
      <c r="J63" s="4">
        <v>5.19481687710393E-3</v>
      </c>
      <c r="K63" s="4">
        <v>-1.2903404835907954E-2</v>
      </c>
      <c r="L63" s="4">
        <v>-1.2270092591814247E-2</v>
      </c>
      <c r="M63" s="4">
        <v>-1.515180502060222E-2</v>
      </c>
      <c r="N63" s="4">
        <v>0</v>
      </c>
    </row>
    <row r="64" spans="1:17">
      <c r="A64" s="8">
        <v>39876</v>
      </c>
      <c r="B64" s="4">
        <v>7.4</v>
      </c>
      <c r="C64" s="4">
        <v>3.92</v>
      </c>
      <c r="D64" s="4">
        <v>0.79</v>
      </c>
      <c r="E64" s="4">
        <v>3.32</v>
      </c>
      <c r="F64" s="4">
        <v>2.62</v>
      </c>
      <c r="G64" s="4">
        <v>7.85</v>
      </c>
      <c r="I64" s="4">
        <v>2.7398974188114562E-2</v>
      </c>
      <c r="J64" s="4">
        <v>1.5424470325631731E-2</v>
      </c>
      <c r="K64" s="4">
        <v>2.5642430613337652E-2</v>
      </c>
      <c r="L64" s="4">
        <v>2.4391453124159048E-2</v>
      </c>
      <c r="M64" s="4">
        <v>0</v>
      </c>
      <c r="N64" s="4">
        <v>-6.3492276786588919E-3</v>
      </c>
    </row>
    <row r="65" spans="1:14">
      <c r="A65" s="8">
        <v>39877</v>
      </c>
      <c r="B65" s="4">
        <v>7.3</v>
      </c>
      <c r="C65" s="4">
        <v>3.94</v>
      </c>
      <c r="D65" s="4">
        <v>0.79</v>
      </c>
      <c r="E65" s="4">
        <v>3.32</v>
      </c>
      <c r="F65" s="4">
        <v>2.6</v>
      </c>
      <c r="G65" s="4">
        <v>7.85</v>
      </c>
      <c r="I65" s="4">
        <v>-1.3605652055778709E-2</v>
      </c>
      <c r="J65" s="4">
        <v>5.0890695074712281E-3</v>
      </c>
      <c r="K65" s="4">
        <v>0</v>
      </c>
      <c r="L65" s="4">
        <v>0</v>
      </c>
      <c r="M65" s="4">
        <v>-7.6628727455691371E-3</v>
      </c>
      <c r="N65" s="4">
        <v>0</v>
      </c>
    </row>
    <row r="66" spans="1:14">
      <c r="A66" s="8">
        <v>39878</v>
      </c>
      <c r="B66" s="4">
        <v>7.25</v>
      </c>
      <c r="C66" s="4">
        <v>3.96</v>
      </c>
      <c r="D66" s="4">
        <v>0.8</v>
      </c>
      <c r="E66" s="4">
        <v>3.38</v>
      </c>
      <c r="F66" s="4">
        <v>2.66</v>
      </c>
      <c r="G66" s="4">
        <v>7.85</v>
      </c>
      <c r="I66" s="4">
        <v>-6.8728792877620643E-3</v>
      </c>
      <c r="J66" s="4">
        <v>5.0633019565466345E-3</v>
      </c>
      <c r="K66" s="4">
        <v>1.2578782206860185E-2</v>
      </c>
      <c r="L66" s="4">
        <v>1.7910926566530243E-2</v>
      </c>
      <c r="M66" s="4">
        <v>2.2814677766171264E-2</v>
      </c>
      <c r="N66" s="4">
        <v>0</v>
      </c>
    </row>
    <row r="67" spans="1:14">
      <c r="A67" s="8">
        <v>39881</v>
      </c>
      <c r="B67" s="4">
        <v>7.2</v>
      </c>
      <c r="C67" s="4">
        <v>3.94</v>
      </c>
      <c r="D67" s="4">
        <v>0.79</v>
      </c>
      <c r="E67" s="4">
        <v>3.32</v>
      </c>
      <c r="F67" s="4">
        <v>2.56</v>
      </c>
      <c r="G67" s="4">
        <v>7.9</v>
      </c>
      <c r="I67" s="4">
        <v>-6.9204428445737952E-3</v>
      </c>
      <c r="J67" s="4">
        <v>-5.063301956546762E-3</v>
      </c>
      <c r="K67" s="4">
        <v>-1.2578782206860073E-2</v>
      </c>
      <c r="L67" s="4">
        <v>-1.7910926566530219E-2</v>
      </c>
      <c r="M67" s="4">
        <v>-3.8318864302136657E-2</v>
      </c>
      <c r="N67" s="4">
        <v>6.3492276786587445E-3</v>
      </c>
    </row>
    <row r="68" spans="1:14">
      <c r="A68" s="8">
        <v>39882</v>
      </c>
      <c r="B68" s="4">
        <v>7.3</v>
      </c>
      <c r="C68" s="4">
        <v>4</v>
      </c>
      <c r="D68" s="4">
        <v>0.8</v>
      </c>
      <c r="E68" s="4">
        <v>3.36</v>
      </c>
      <c r="F68" s="4">
        <v>2.6</v>
      </c>
      <c r="G68" s="4">
        <v>8</v>
      </c>
      <c r="I68" s="4">
        <v>1.3793322132335769E-2</v>
      </c>
      <c r="J68" s="4">
        <v>1.5113637810048106E-2</v>
      </c>
      <c r="K68" s="4">
        <v>1.2578782206860185E-2</v>
      </c>
      <c r="L68" s="4">
        <v>1.197619104671562E-2</v>
      </c>
      <c r="M68" s="4">
        <v>1.5504186535965254E-2</v>
      </c>
      <c r="N68" s="4">
        <v>1.2578782206859965E-2</v>
      </c>
    </row>
    <row r="69" spans="1:14">
      <c r="A69" s="8">
        <v>39883</v>
      </c>
      <c r="B69" s="4">
        <v>7.25</v>
      </c>
      <c r="C69" s="4">
        <v>3.98</v>
      </c>
      <c r="D69" s="4">
        <v>0.82</v>
      </c>
      <c r="E69" s="4">
        <v>3.34</v>
      </c>
      <c r="F69" s="4">
        <v>2.6</v>
      </c>
      <c r="G69" s="4">
        <v>8</v>
      </c>
      <c r="I69" s="4">
        <v>-6.8728792877620643E-3</v>
      </c>
      <c r="J69" s="4">
        <v>-5.0125418235442863E-3</v>
      </c>
      <c r="K69" s="4">
        <v>2.4692612590371414E-2</v>
      </c>
      <c r="L69" s="4">
        <v>-5.970166986503796E-3</v>
      </c>
      <c r="M69" s="4">
        <v>0</v>
      </c>
      <c r="N69" s="4">
        <v>0</v>
      </c>
    </row>
    <row r="70" spans="1:14">
      <c r="A70" s="8">
        <v>39884</v>
      </c>
      <c r="B70" s="4">
        <v>7.3</v>
      </c>
      <c r="C70" s="4">
        <v>3.64</v>
      </c>
      <c r="D70" s="4">
        <v>0.81</v>
      </c>
      <c r="E70" s="4">
        <v>3.34</v>
      </c>
      <c r="F70" s="4">
        <v>2.64</v>
      </c>
      <c r="G70" s="4">
        <v>8.1</v>
      </c>
      <c r="I70" s="4">
        <v>6.8728792877620504E-3</v>
      </c>
      <c r="J70" s="4">
        <v>-8.9298137647696965E-2</v>
      </c>
      <c r="K70" s="4">
        <v>-1.2270092591814247E-2</v>
      </c>
      <c r="L70" s="4">
        <v>0</v>
      </c>
      <c r="M70" s="4">
        <v>1.5267472130788381E-2</v>
      </c>
      <c r="N70" s="4">
        <v>1.242251999855711E-2</v>
      </c>
    </row>
    <row r="71" spans="1:14">
      <c r="A71" s="8">
        <v>39885</v>
      </c>
      <c r="B71" s="4">
        <v>7.4</v>
      </c>
      <c r="C71" s="4">
        <v>3.68</v>
      </c>
      <c r="D71" s="4">
        <v>0.8</v>
      </c>
      <c r="E71" s="4">
        <v>3.32</v>
      </c>
      <c r="F71" s="4">
        <v>2.84</v>
      </c>
      <c r="G71" s="4">
        <v>8.3000000000000007</v>
      </c>
      <c r="I71" s="4">
        <v>1.3605652055778678E-2</v>
      </c>
      <c r="J71" s="4">
        <v>1.092907053219023E-2</v>
      </c>
      <c r="K71" s="4">
        <v>-1.2422519998557209E-2</v>
      </c>
      <c r="L71" s="4">
        <v>-6.0060240602119218E-3</v>
      </c>
      <c r="M71" s="4">
        <v>7.3025135014889817E-2</v>
      </c>
      <c r="N71" s="4">
        <v>2.4391453124159263E-2</v>
      </c>
    </row>
    <row r="72" spans="1:14">
      <c r="A72" s="8">
        <v>39888</v>
      </c>
      <c r="B72" s="4">
        <v>7.45</v>
      </c>
      <c r="C72" s="4">
        <v>3.76</v>
      </c>
      <c r="D72" s="4">
        <v>0.8</v>
      </c>
      <c r="E72" s="4">
        <v>3.32</v>
      </c>
      <c r="F72" s="4">
        <v>2.82</v>
      </c>
      <c r="G72" s="4">
        <v>8.6</v>
      </c>
      <c r="I72" s="4">
        <v>6.7340321813441194E-3</v>
      </c>
      <c r="J72" s="4">
        <v>2.1506205220963463E-2</v>
      </c>
      <c r="K72" s="4">
        <v>0</v>
      </c>
      <c r="L72" s="4">
        <v>0</v>
      </c>
      <c r="M72" s="4">
        <v>-7.067167223092443E-3</v>
      </c>
      <c r="N72" s="4">
        <v>3.5506688456909602E-2</v>
      </c>
    </row>
    <row r="73" spans="1:14">
      <c r="A73" s="8">
        <v>39889</v>
      </c>
      <c r="B73" s="4">
        <v>7.35</v>
      </c>
      <c r="C73" s="4">
        <v>3.9</v>
      </c>
      <c r="D73" s="4">
        <v>0.81</v>
      </c>
      <c r="E73" s="4">
        <v>3.34</v>
      </c>
      <c r="F73" s="4">
        <v>2.82</v>
      </c>
      <c r="G73" s="4">
        <v>8.5</v>
      </c>
      <c r="I73" s="4">
        <v>-1.3513719166722933E-2</v>
      </c>
      <c r="J73" s="4">
        <v>3.6557595733797729E-2</v>
      </c>
      <c r="K73" s="4">
        <v>1.242251999855711E-2</v>
      </c>
      <c r="L73" s="4">
        <v>6.0060240602119487E-3</v>
      </c>
      <c r="M73" s="4">
        <v>0</v>
      </c>
      <c r="N73" s="4">
        <v>-1.1696039763191187E-2</v>
      </c>
    </row>
    <row r="74" spans="1:14">
      <c r="A74" s="8">
        <v>39890</v>
      </c>
      <c r="B74" s="4">
        <v>7.4</v>
      </c>
      <c r="C74" s="4">
        <v>4</v>
      </c>
      <c r="D74" s="4">
        <v>0.81</v>
      </c>
      <c r="E74" s="4">
        <v>3.32</v>
      </c>
      <c r="F74" s="4">
        <v>2.9</v>
      </c>
      <c r="G74" s="4">
        <v>8.9</v>
      </c>
      <c r="I74" s="4">
        <v>6.7796869853787691E-3</v>
      </c>
      <c r="J74" s="4">
        <v>2.5317807984290001E-2</v>
      </c>
      <c r="K74" s="4">
        <v>0</v>
      </c>
      <c r="L74" s="4">
        <v>-6.0060240602119218E-3</v>
      </c>
      <c r="M74" s="4">
        <v>2.7973852042406162E-2</v>
      </c>
      <c r="N74" s="4">
        <v>4.5985113241823437E-2</v>
      </c>
    </row>
    <row r="75" spans="1:14">
      <c r="A75" s="8">
        <v>39891</v>
      </c>
      <c r="B75" s="4">
        <v>7.4</v>
      </c>
      <c r="C75" s="4">
        <v>3.9</v>
      </c>
      <c r="D75" s="4">
        <v>0.85</v>
      </c>
      <c r="E75" s="4">
        <v>3.28</v>
      </c>
      <c r="F75" s="4">
        <v>2.86</v>
      </c>
      <c r="G75" s="4">
        <v>9.25</v>
      </c>
      <c r="I75" s="4">
        <v>0</v>
      </c>
      <c r="J75" s="4">
        <v>-2.5317807984289897E-2</v>
      </c>
      <c r="K75" s="4">
        <v>4.8202101817877686E-2</v>
      </c>
      <c r="L75" s="4">
        <v>-1.212136053234485E-2</v>
      </c>
      <c r="M75" s="4">
        <v>-1.388911216066715E-2</v>
      </c>
      <c r="N75" s="4">
        <v>3.8572274786239653E-2</v>
      </c>
    </row>
    <row r="76" spans="1:14">
      <c r="A76" s="8">
        <v>39892</v>
      </c>
      <c r="B76" s="4">
        <v>7.35</v>
      </c>
      <c r="C76" s="4">
        <v>3.82</v>
      </c>
      <c r="D76" s="4">
        <v>0.87</v>
      </c>
      <c r="E76" s="4">
        <v>3.34</v>
      </c>
      <c r="F76" s="4">
        <v>2.88</v>
      </c>
      <c r="G76" s="4">
        <v>9.4499999999999993</v>
      </c>
      <c r="I76" s="4">
        <v>-6.7796869853788038E-3</v>
      </c>
      <c r="J76" s="4">
        <v>-2.072613051711697E-2</v>
      </c>
      <c r="K76" s="4">
        <v>2.3256862164267183E-2</v>
      </c>
      <c r="L76" s="4">
        <v>1.8127384592556701E-2</v>
      </c>
      <c r="M76" s="4">
        <v>6.9686693160934355E-3</v>
      </c>
      <c r="N76" s="4">
        <v>2.139118998131756E-2</v>
      </c>
    </row>
    <row r="77" spans="1:14">
      <c r="A77" s="8">
        <v>39895</v>
      </c>
      <c r="B77" s="4">
        <v>7.45</v>
      </c>
      <c r="C77" s="4">
        <v>4.04</v>
      </c>
      <c r="D77" s="4">
        <v>0.86</v>
      </c>
      <c r="E77" s="4">
        <v>3.34</v>
      </c>
      <c r="F77" s="4">
        <v>2.94</v>
      </c>
      <c r="G77" s="4">
        <v>9.6999999999999993</v>
      </c>
      <c r="I77" s="4">
        <v>1.3513719166722855E-2</v>
      </c>
      <c r="J77" s="4">
        <v>5.5994269354575001E-2</v>
      </c>
      <c r="K77" s="4">
        <v>-1.1560822401075971E-2</v>
      </c>
      <c r="L77" s="4">
        <v>0</v>
      </c>
      <c r="M77" s="4">
        <v>2.061928720273561E-2</v>
      </c>
      <c r="N77" s="4">
        <v>2.6111144003685804E-2</v>
      </c>
    </row>
    <row r="78" spans="1:14">
      <c r="A78" s="8">
        <v>39896</v>
      </c>
      <c r="B78" s="4">
        <v>7.4</v>
      </c>
      <c r="C78" s="4">
        <v>4.04</v>
      </c>
      <c r="D78" s="4">
        <v>0.84</v>
      </c>
      <c r="E78" s="4">
        <v>3.32</v>
      </c>
      <c r="F78" s="4">
        <v>2.88</v>
      </c>
      <c r="G78" s="4">
        <v>10.1</v>
      </c>
      <c r="I78" s="4">
        <v>-6.7340321813440683E-3</v>
      </c>
      <c r="J78" s="4">
        <v>0</v>
      </c>
      <c r="K78" s="4">
        <v>-2.3530497410194161E-2</v>
      </c>
      <c r="L78" s="4">
        <v>-6.0060240602119218E-3</v>
      </c>
      <c r="M78" s="4">
        <v>-2.0619287202735703E-2</v>
      </c>
      <c r="N78" s="4">
        <v>4.0409538337876701E-2</v>
      </c>
    </row>
    <row r="79" spans="1:14">
      <c r="A79" s="8">
        <v>39897</v>
      </c>
      <c r="B79" s="4">
        <v>7.4</v>
      </c>
      <c r="C79" s="4">
        <v>4.0199999999999996</v>
      </c>
      <c r="D79" s="4">
        <v>0.84</v>
      </c>
      <c r="E79" s="4">
        <v>3.28</v>
      </c>
      <c r="F79" s="4">
        <v>2.84</v>
      </c>
      <c r="G79" s="4">
        <v>9.8000000000000007</v>
      </c>
      <c r="I79" s="4">
        <v>0</v>
      </c>
      <c r="J79" s="4">
        <v>-4.9627893421291249E-3</v>
      </c>
      <c r="K79" s="4">
        <v>0</v>
      </c>
      <c r="L79" s="4">
        <v>-1.212136053234485E-2</v>
      </c>
      <c r="M79" s="4">
        <v>-1.3986241974739952E-2</v>
      </c>
      <c r="N79" s="4">
        <v>-3.0153038170687443E-2</v>
      </c>
    </row>
    <row r="80" spans="1:14">
      <c r="A80" s="8">
        <v>39898</v>
      </c>
      <c r="B80" s="4">
        <v>7.4</v>
      </c>
      <c r="C80" s="4">
        <v>4.08</v>
      </c>
      <c r="D80" s="4">
        <v>0.82</v>
      </c>
      <c r="E80" s="4">
        <v>3.32</v>
      </c>
      <c r="F80" s="4">
        <v>2.84</v>
      </c>
      <c r="G80" s="4">
        <v>9.65</v>
      </c>
      <c r="I80" s="4">
        <v>0</v>
      </c>
      <c r="J80" s="4">
        <v>1.4815085785140682E-2</v>
      </c>
      <c r="K80" s="4">
        <v>-2.409755157906053E-2</v>
      </c>
      <c r="L80" s="4">
        <v>1.212136053234482E-2</v>
      </c>
      <c r="M80" s="4">
        <v>0</v>
      </c>
      <c r="N80" s="4">
        <v>-1.5424470325631752E-2</v>
      </c>
    </row>
    <row r="81" spans="1:14">
      <c r="A81" s="8">
        <v>39899</v>
      </c>
      <c r="B81" s="4">
        <v>7.4</v>
      </c>
      <c r="C81" s="4">
        <v>4.16</v>
      </c>
      <c r="D81" s="4">
        <v>0.84</v>
      </c>
      <c r="E81" s="4">
        <v>3.36</v>
      </c>
      <c r="F81" s="4">
        <v>2.84</v>
      </c>
      <c r="G81" s="4">
        <v>9.8000000000000007</v>
      </c>
      <c r="I81" s="4">
        <v>0</v>
      </c>
      <c r="J81" s="4">
        <v>1.9418085857101516E-2</v>
      </c>
      <c r="K81" s="4">
        <v>2.4097551579060524E-2</v>
      </c>
      <c r="L81" s="4">
        <v>1.197619104671562E-2</v>
      </c>
      <c r="M81" s="4">
        <v>0</v>
      </c>
      <c r="N81" s="4">
        <v>1.5424470325631731E-2</v>
      </c>
    </row>
    <row r="82" spans="1:14">
      <c r="A82" s="8">
        <v>39902</v>
      </c>
      <c r="B82" s="4">
        <v>7.4</v>
      </c>
      <c r="C82" s="4">
        <v>3.96</v>
      </c>
      <c r="D82" s="4">
        <v>0.84</v>
      </c>
      <c r="E82" s="4">
        <v>3.24</v>
      </c>
      <c r="F82" s="4">
        <v>2.78</v>
      </c>
      <c r="G82" s="4">
        <v>9.5500000000000007</v>
      </c>
      <c r="I82" s="4">
        <v>0</v>
      </c>
      <c r="J82" s="4">
        <v>-4.9271049006782794E-2</v>
      </c>
      <c r="K82" s="4">
        <v>0</v>
      </c>
      <c r="L82" s="4">
        <v>-3.6367644170874715E-2</v>
      </c>
      <c r="M82" s="4">
        <v>-2.1353124470568946E-2</v>
      </c>
      <c r="N82" s="4">
        <v>-2.5841231183887328E-2</v>
      </c>
    </row>
    <row r="83" spans="1:14">
      <c r="A83" s="8">
        <v>39903</v>
      </c>
      <c r="B83" s="4">
        <v>7.4</v>
      </c>
      <c r="C83" s="4">
        <v>4</v>
      </c>
      <c r="D83" s="4">
        <v>0.84</v>
      </c>
      <c r="E83" s="4">
        <v>3.24</v>
      </c>
      <c r="F83" s="4">
        <v>2.74</v>
      </c>
      <c r="G83" s="4">
        <v>9.6</v>
      </c>
      <c r="I83" s="4">
        <v>0</v>
      </c>
      <c r="J83" s="4">
        <v>1.0050335853501506E-2</v>
      </c>
      <c r="K83" s="4">
        <v>0</v>
      </c>
      <c r="L83" s="4">
        <v>0</v>
      </c>
      <c r="M83" s="4">
        <v>-1.4493007302566639E-2</v>
      </c>
      <c r="N83" s="4">
        <v>5.2219439811516249E-3</v>
      </c>
    </row>
    <row r="84" spans="1:14">
      <c r="A84" s="8">
        <v>39904</v>
      </c>
      <c r="B84" s="4">
        <v>7.4</v>
      </c>
      <c r="C84" s="4">
        <v>4.0199999999999996</v>
      </c>
      <c r="D84" s="4">
        <v>0.84</v>
      </c>
      <c r="E84" s="4">
        <v>3.22</v>
      </c>
      <c r="F84" s="4">
        <v>2.76</v>
      </c>
      <c r="G84" s="4">
        <v>9.65</v>
      </c>
      <c r="I84" s="4">
        <v>0</v>
      </c>
      <c r="J84" s="4">
        <v>4.9875415110389679E-3</v>
      </c>
      <c r="K84" s="4">
        <v>0</v>
      </c>
      <c r="L84" s="4">
        <v>-6.191970247921107E-3</v>
      </c>
      <c r="M84" s="4">
        <v>7.2727593290796569E-3</v>
      </c>
      <c r="N84" s="4">
        <v>5.1948168771041511E-3</v>
      </c>
    </row>
    <row r="85" spans="1:14">
      <c r="A85" s="8">
        <v>39905</v>
      </c>
      <c r="B85" s="4">
        <v>7.75</v>
      </c>
      <c r="C85" s="4">
        <v>4.3</v>
      </c>
      <c r="D85" s="4">
        <v>0.88</v>
      </c>
      <c r="E85" s="4">
        <v>3.22</v>
      </c>
      <c r="F85" s="4">
        <v>2.88</v>
      </c>
      <c r="G85" s="4">
        <v>9.85</v>
      </c>
      <c r="I85" s="4">
        <v>4.6212843155131411E-2</v>
      </c>
      <c r="J85" s="4">
        <v>6.733312006858716E-2</v>
      </c>
      <c r="K85" s="4">
        <v>4.6520015634892907E-2</v>
      </c>
      <c r="L85" s="4">
        <v>0</v>
      </c>
      <c r="M85" s="4">
        <v>4.2559614418795903E-2</v>
      </c>
      <c r="N85" s="4">
        <v>2.051353983310281E-2</v>
      </c>
    </row>
    <row r="86" spans="1:14">
      <c r="A86" s="8">
        <v>39906</v>
      </c>
      <c r="B86" s="4">
        <v>7.75</v>
      </c>
      <c r="C86" s="4">
        <v>4.42</v>
      </c>
      <c r="D86" s="4">
        <v>0.88</v>
      </c>
      <c r="E86" s="4">
        <v>3.18</v>
      </c>
      <c r="F86" s="4">
        <v>2.9</v>
      </c>
      <c r="G86" s="4">
        <v>9.8000000000000007</v>
      </c>
      <c r="I86" s="4">
        <v>0</v>
      </c>
      <c r="J86" s="4">
        <v>2.7524673390089936E-2</v>
      </c>
      <c r="K86" s="4">
        <v>0</v>
      </c>
      <c r="L86" s="4">
        <v>-1.2500162764231494E-2</v>
      </c>
      <c r="M86" s="4">
        <v>6.920442844573757E-3</v>
      </c>
      <c r="N86" s="4">
        <v>-5.0890695074711813E-3</v>
      </c>
    </row>
    <row r="87" spans="1:14">
      <c r="A87" s="8">
        <v>39910</v>
      </c>
      <c r="B87" s="4">
        <v>8.4499999999999993</v>
      </c>
      <c r="C87" s="4">
        <v>4.4400000000000004</v>
      </c>
      <c r="D87" s="4">
        <v>0.9</v>
      </c>
      <c r="E87" s="4">
        <v>3.16</v>
      </c>
      <c r="F87" s="4">
        <v>2.9</v>
      </c>
      <c r="G87" s="4">
        <v>9.85</v>
      </c>
      <c r="I87" s="4">
        <v>8.6473598003826854E-2</v>
      </c>
      <c r="J87" s="4">
        <v>4.5146803545268342E-3</v>
      </c>
      <c r="K87" s="4">
        <v>2.2472855852058576E-2</v>
      </c>
      <c r="L87" s="4">
        <v>-6.309169193264721E-3</v>
      </c>
      <c r="M87" s="4">
        <v>0</v>
      </c>
      <c r="N87" s="4">
        <v>5.0890695074712281E-3</v>
      </c>
    </row>
    <row r="88" spans="1:14">
      <c r="A88" s="8">
        <v>39911</v>
      </c>
      <c r="B88" s="4">
        <v>8.85</v>
      </c>
      <c r="C88" s="4">
        <v>4.4400000000000004</v>
      </c>
      <c r="D88" s="4">
        <v>0.9</v>
      </c>
      <c r="E88" s="4">
        <v>3.14</v>
      </c>
      <c r="F88" s="4">
        <v>2.9</v>
      </c>
      <c r="G88" s="4">
        <v>9.8000000000000007</v>
      </c>
      <c r="I88" s="4">
        <v>4.6251017650755691E-2</v>
      </c>
      <c r="J88" s="4">
        <v>0</v>
      </c>
      <c r="K88" s="4">
        <v>0</v>
      </c>
      <c r="L88" s="4">
        <v>-6.34922767865878E-3</v>
      </c>
      <c r="M88" s="4">
        <v>0</v>
      </c>
      <c r="N88" s="4">
        <v>-5.0890695074711813E-3</v>
      </c>
    </row>
    <row r="89" spans="1:14">
      <c r="A89" s="8">
        <v>39912</v>
      </c>
      <c r="B89" s="4">
        <v>8.85</v>
      </c>
      <c r="C89" s="4">
        <v>4.66</v>
      </c>
      <c r="D89" s="4">
        <v>0.9</v>
      </c>
      <c r="E89" s="4">
        <v>3.14</v>
      </c>
      <c r="F89" s="4">
        <v>2.96</v>
      </c>
      <c r="G89" s="4">
        <v>9.85</v>
      </c>
      <c r="I89" s="4">
        <v>0</v>
      </c>
      <c r="J89" s="4">
        <v>4.8361071693421062E-2</v>
      </c>
      <c r="K89" s="4">
        <v>0</v>
      </c>
      <c r="L89" s="4">
        <v>0</v>
      </c>
      <c r="M89" s="4">
        <v>2.0478531343540701E-2</v>
      </c>
      <c r="N89" s="4">
        <v>5.0890695074712281E-3</v>
      </c>
    </row>
    <row r="90" spans="1:14">
      <c r="A90" s="8">
        <v>39913</v>
      </c>
      <c r="B90" s="4">
        <v>9.0500000000000007</v>
      </c>
      <c r="C90" s="4">
        <v>4.8</v>
      </c>
      <c r="D90" s="4">
        <v>0.91</v>
      </c>
      <c r="E90" s="4">
        <v>3.18</v>
      </c>
      <c r="F90" s="4">
        <v>3.06</v>
      </c>
      <c r="G90" s="4">
        <v>10.1</v>
      </c>
      <c r="I90" s="4">
        <v>2.2347298691996618E-2</v>
      </c>
      <c r="J90" s="4">
        <v>2.9600469776290682E-2</v>
      </c>
      <c r="K90" s="4">
        <v>1.1049836186584935E-2</v>
      </c>
      <c r="L90" s="4">
        <v>1.2658396871923465E-2</v>
      </c>
      <c r="M90" s="4">
        <v>3.3225647628320386E-2</v>
      </c>
      <c r="N90" s="4">
        <v>2.506396866321622E-2</v>
      </c>
    </row>
    <row r="91" spans="1:14">
      <c r="A91" s="8">
        <v>39919</v>
      </c>
      <c r="B91" s="4">
        <v>9.6</v>
      </c>
      <c r="C91" s="4">
        <v>4.78</v>
      </c>
      <c r="D91" s="4">
        <v>0.9</v>
      </c>
      <c r="E91" s="4">
        <v>3.16</v>
      </c>
      <c r="F91" s="4">
        <v>3.06</v>
      </c>
      <c r="G91" s="4">
        <v>10.6</v>
      </c>
      <c r="I91" s="4">
        <v>5.8998340761955759E-2</v>
      </c>
      <c r="J91" s="4">
        <v>-4.1753714104805105E-3</v>
      </c>
      <c r="K91" s="4">
        <v>-1.1049836186584935E-2</v>
      </c>
      <c r="L91" s="4">
        <v>-6.309169193264721E-3</v>
      </c>
      <c r="M91" s="4">
        <v>0</v>
      </c>
      <c r="N91" s="4">
        <v>4.8318577270807732E-2</v>
      </c>
    </row>
    <row r="92" spans="1:14">
      <c r="A92" s="8">
        <v>39920</v>
      </c>
      <c r="B92" s="4">
        <v>9.6999999999999993</v>
      </c>
      <c r="C92" s="4">
        <v>4.6399999999999997</v>
      </c>
      <c r="D92" s="4">
        <v>0.88</v>
      </c>
      <c r="E92" s="4">
        <v>3.12</v>
      </c>
      <c r="F92" s="4">
        <v>3.1</v>
      </c>
      <c r="G92" s="4">
        <v>10.6</v>
      </c>
      <c r="I92" s="4">
        <v>1.0362787035546658E-2</v>
      </c>
      <c r="J92" s="4">
        <v>-2.9726180265200849E-2</v>
      </c>
      <c r="K92" s="4">
        <v>-2.2472855852058628E-2</v>
      </c>
      <c r="L92" s="4">
        <v>-1.2739025777429714E-2</v>
      </c>
      <c r="M92" s="4">
        <v>1.2987195526811112E-2</v>
      </c>
      <c r="N92" s="4">
        <v>0</v>
      </c>
    </row>
    <row r="93" spans="1:14">
      <c r="A93" s="8">
        <v>39923</v>
      </c>
      <c r="B93" s="4">
        <v>10</v>
      </c>
      <c r="C93" s="4">
        <v>4.66</v>
      </c>
      <c r="D93" s="4">
        <v>0.96</v>
      </c>
      <c r="E93" s="4">
        <v>3.16</v>
      </c>
      <c r="F93" s="4">
        <v>3.3</v>
      </c>
      <c r="G93" s="4">
        <v>10.8</v>
      </c>
      <c r="I93" s="4">
        <v>3.0459207484708654E-2</v>
      </c>
      <c r="J93" s="4">
        <v>4.3010818993907017E-3</v>
      </c>
      <c r="K93" s="4">
        <v>8.7011376989629699E-2</v>
      </c>
      <c r="L93" s="4">
        <v>1.2739025777429712E-2</v>
      </c>
      <c r="M93" s="4">
        <v>6.252035698133393E-2</v>
      </c>
      <c r="N93" s="4">
        <v>1.8692133012152546E-2</v>
      </c>
    </row>
    <row r="94" spans="1:14">
      <c r="A94" s="8">
        <v>39924</v>
      </c>
      <c r="B94" s="4">
        <v>9.9499999999999993</v>
      </c>
      <c r="C94" s="4">
        <v>4.58</v>
      </c>
      <c r="D94" s="4">
        <v>0.9</v>
      </c>
      <c r="E94" s="4">
        <v>3.16</v>
      </c>
      <c r="F94" s="4">
        <v>3.28</v>
      </c>
      <c r="G94" s="4">
        <v>10.9</v>
      </c>
      <c r="I94" s="4">
        <v>-5.0125418235443982E-3</v>
      </c>
      <c r="J94" s="4">
        <v>-1.731645001146093E-2</v>
      </c>
      <c r="K94" s="4">
        <v>-6.4538521137571053E-2</v>
      </c>
      <c r="L94" s="4">
        <v>0</v>
      </c>
      <c r="M94" s="4">
        <v>-6.0790460763822263E-3</v>
      </c>
      <c r="N94" s="4">
        <v>9.2166551049240476E-3</v>
      </c>
    </row>
    <row r="95" spans="1:14">
      <c r="A95" s="8">
        <v>39925</v>
      </c>
      <c r="B95" s="4">
        <v>9.65</v>
      </c>
      <c r="C95" s="4">
        <v>4.5</v>
      </c>
      <c r="D95" s="4">
        <v>0.89</v>
      </c>
      <c r="E95" s="4">
        <v>3.22</v>
      </c>
      <c r="F95" s="4">
        <v>3.24</v>
      </c>
      <c r="G95" s="4">
        <v>10.7</v>
      </c>
      <c r="I95" s="4">
        <v>-3.0614635819606748E-2</v>
      </c>
      <c r="J95" s="4">
        <v>-1.7621601349819559E-2</v>
      </c>
      <c r="K95" s="4">
        <v>-1.1173300598125189E-2</v>
      </c>
      <c r="L95" s="4">
        <v>1.8809331957496293E-2</v>
      </c>
      <c r="M95" s="4">
        <v>-1.2270092591814247E-2</v>
      </c>
      <c r="N95" s="4">
        <v>-1.8519047767237642E-2</v>
      </c>
    </row>
    <row r="96" spans="1:14">
      <c r="A96" s="8">
        <v>39926</v>
      </c>
      <c r="B96" s="4">
        <v>9.8000000000000007</v>
      </c>
      <c r="C96" s="4">
        <v>4.54</v>
      </c>
      <c r="D96" s="4">
        <v>0.89</v>
      </c>
      <c r="E96" s="4">
        <v>3.28</v>
      </c>
      <c r="F96" s="4">
        <v>3.34</v>
      </c>
      <c r="G96" s="4">
        <v>11</v>
      </c>
      <c r="I96" s="4">
        <v>1.5424470325631731E-2</v>
      </c>
      <c r="J96" s="4">
        <v>8.8496152769826E-3</v>
      </c>
      <c r="K96" s="4">
        <v>0</v>
      </c>
      <c r="L96" s="4">
        <v>1.8462062839735352E-2</v>
      </c>
      <c r="M96" s="4">
        <v>3.0397477184370948E-2</v>
      </c>
      <c r="N96" s="4">
        <v>2.7651531330510164E-2</v>
      </c>
    </row>
    <row r="97" spans="1:14">
      <c r="A97" s="8">
        <v>39927</v>
      </c>
      <c r="B97" s="4">
        <v>9.85</v>
      </c>
      <c r="C97" s="4">
        <v>4.76</v>
      </c>
      <c r="D97" s="4">
        <v>0.89</v>
      </c>
      <c r="E97" s="4">
        <v>3.26</v>
      </c>
      <c r="F97" s="4">
        <v>3.36</v>
      </c>
      <c r="G97" s="4">
        <v>11.1</v>
      </c>
      <c r="I97" s="4">
        <v>5.0890695074712281E-3</v>
      </c>
      <c r="J97" s="4">
        <v>4.7320656190071954E-2</v>
      </c>
      <c r="K97" s="4">
        <v>0</v>
      </c>
      <c r="L97" s="4">
        <v>-6.1162270174360944E-3</v>
      </c>
      <c r="M97" s="4">
        <v>5.9701669865037544E-3</v>
      </c>
      <c r="N97" s="4">
        <v>9.0498355199178562E-3</v>
      </c>
    </row>
    <row r="98" spans="1:14">
      <c r="A98" s="8">
        <v>39930</v>
      </c>
      <c r="B98" s="4">
        <v>9.9</v>
      </c>
      <c r="C98" s="4">
        <v>4.96</v>
      </c>
      <c r="D98" s="4">
        <v>0.89</v>
      </c>
      <c r="E98" s="4">
        <v>3.24</v>
      </c>
      <c r="F98" s="4">
        <v>3.26</v>
      </c>
      <c r="G98" s="4">
        <v>10.9</v>
      </c>
      <c r="I98" s="4">
        <v>5.0633019565468548E-3</v>
      </c>
      <c r="J98" s="4">
        <v>4.1158072493507551E-2</v>
      </c>
      <c r="K98" s="4">
        <v>0</v>
      </c>
      <c r="L98" s="4">
        <v>-6.1538655743781116E-3</v>
      </c>
      <c r="M98" s="4">
        <v>-3.0213778596496595E-2</v>
      </c>
      <c r="N98" s="4">
        <v>-1.818231908319036E-2</v>
      </c>
    </row>
    <row r="99" spans="1:14">
      <c r="A99" s="8">
        <v>39931</v>
      </c>
      <c r="B99" s="4">
        <v>10.199999999999999</v>
      </c>
      <c r="C99" s="4">
        <v>4.92</v>
      </c>
      <c r="D99" s="4">
        <v>0.92</v>
      </c>
      <c r="E99" s="4">
        <v>3.22</v>
      </c>
      <c r="F99" s="4">
        <v>3.18</v>
      </c>
      <c r="G99" s="4">
        <v>10.7</v>
      </c>
      <c r="I99" s="4">
        <v>2.9852963149681128E-2</v>
      </c>
      <c r="J99" s="4">
        <v>-8.0972102326193618E-3</v>
      </c>
      <c r="K99" s="4">
        <v>3.315220731690055E-2</v>
      </c>
      <c r="L99" s="4">
        <v>-6.191970247921107E-3</v>
      </c>
      <c r="M99" s="4">
        <v>-2.4845998586530662E-2</v>
      </c>
      <c r="N99" s="4">
        <v>-1.8519047767237642E-2</v>
      </c>
    </row>
    <row r="100" spans="1:14">
      <c r="A100" s="8">
        <v>39932</v>
      </c>
      <c r="B100" s="4">
        <v>10.6</v>
      </c>
      <c r="C100" s="4">
        <v>5.55</v>
      </c>
      <c r="D100" s="4">
        <v>0.93</v>
      </c>
      <c r="E100" s="4">
        <v>3.3</v>
      </c>
      <c r="F100" s="4">
        <v>3.3</v>
      </c>
      <c r="G100" s="4">
        <v>11.4</v>
      </c>
      <c r="I100" s="4">
        <v>3.8466280827796143E-2</v>
      </c>
      <c r="J100" s="4">
        <v>0.1204893972541263</v>
      </c>
      <c r="K100" s="4">
        <v>1.0810916104215676E-2</v>
      </c>
      <c r="L100" s="4">
        <v>2.4541108916117445E-2</v>
      </c>
      <c r="M100" s="4">
        <v>3.7041271680349076E-2</v>
      </c>
      <c r="N100" s="4">
        <v>6.33696139325894E-2</v>
      </c>
    </row>
    <row r="101" spans="1:14">
      <c r="A101" s="8">
        <v>39933</v>
      </c>
      <c r="B101" s="4">
        <v>9.9499999999999993</v>
      </c>
      <c r="C101" s="4">
        <v>5.7</v>
      </c>
      <c r="D101" s="4">
        <v>1.04</v>
      </c>
      <c r="E101" s="4">
        <v>3.32</v>
      </c>
      <c r="F101" s="4">
        <v>3.44</v>
      </c>
      <c r="G101" s="4">
        <v>11.2</v>
      </c>
      <c r="I101" s="4">
        <v>-6.3281449947520108E-2</v>
      </c>
      <c r="J101" s="4">
        <v>2.6668247082161489E-2</v>
      </c>
      <c r="K101" s="4">
        <v>0.11179140598811663</v>
      </c>
      <c r="L101" s="4">
        <v>6.0423144559626617E-3</v>
      </c>
      <c r="M101" s="4">
        <v>4.1549002912872481E-2</v>
      </c>
      <c r="N101" s="4">
        <v>-1.7699577099400975E-2</v>
      </c>
    </row>
    <row r="102" spans="1:14">
      <c r="A102" s="8">
        <v>39937</v>
      </c>
      <c r="B102" s="4">
        <v>10.199999999999999</v>
      </c>
      <c r="C102" s="4">
        <v>5.65</v>
      </c>
      <c r="D102" s="4">
        <v>1.1100000000000001</v>
      </c>
      <c r="E102" s="4">
        <v>3.44</v>
      </c>
      <c r="F102" s="4">
        <v>3.76</v>
      </c>
      <c r="G102" s="4">
        <v>11.7</v>
      </c>
      <c r="I102" s="4">
        <v>2.4815169119723993E-2</v>
      </c>
      <c r="J102" s="4">
        <v>-8.810629682154807E-3</v>
      </c>
      <c r="K102" s="4">
        <v>6.5139302170961449E-2</v>
      </c>
      <c r="L102" s="4">
        <v>3.5506688456909817E-2</v>
      </c>
      <c r="M102" s="4">
        <v>8.8947486016496116E-2</v>
      </c>
      <c r="N102" s="4">
        <v>4.3675063502661635E-2</v>
      </c>
    </row>
    <row r="103" spans="1:14">
      <c r="A103" s="8">
        <v>39939</v>
      </c>
      <c r="B103" s="4">
        <v>13.2</v>
      </c>
      <c r="C103" s="4">
        <v>6.25</v>
      </c>
      <c r="D103" s="4">
        <v>1.26</v>
      </c>
      <c r="E103" s="4">
        <v>3.72</v>
      </c>
      <c r="F103" s="4">
        <v>3.82</v>
      </c>
      <c r="G103" s="4">
        <v>13</v>
      </c>
      <c r="I103" s="4">
        <v>0.25782910930209985</v>
      </c>
      <c r="J103" s="4">
        <v>0.1009259185899605</v>
      </c>
      <c r="K103" s="4">
        <v>0.12675170563914381</v>
      </c>
      <c r="L103" s="4">
        <v>7.8252196899748341E-2</v>
      </c>
      <c r="M103" s="4">
        <v>1.5831465216680662E-2</v>
      </c>
      <c r="N103" s="4">
        <v>0.10536051565782635</v>
      </c>
    </row>
    <row r="104" spans="1:14">
      <c r="A104" s="8">
        <v>39940</v>
      </c>
      <c r="B104" s="4">
        <v>14.9</v>
      </c>
      <c r="C104" s="4">
        <v>6.05</v>
      </c>
      <c r="D104" s="4">
        <v>1.24</v>
      </c>
      <c r="E104" s="4">
        <v>3.76</v>
      </c>
      <c r="F104" s="4">
        <v>4.78</v>
      </c>
      <c r="G104" s="4">
        <v>13.3</v>
      </c>
      <c r="I104" s="4">
        <v>0.12114438335908838</v>
      </c>
      <c r="J104" s="4">
        <v>-3.2523191705560062E-2</v>
      </c>
      <c r="K104" s="4">
        <v>-1.6000341346441189E-2</v>
      </c>
      <c r="L104" s="4">
        <v>1.069528911674795E-2</v>
      </c>
      <c r="M104" s="4">
        <v>0.22419012388488083</v>
      </c>
      <c r="N104" s="4">
        <v>2.2814677766171482E-2</v>
      </c>
    </row>
    <row r="105" spans="1:14">
      <c r="A105" s="8">
        <v>39944</v>
      </c>
      <c r="B105" s="4">
        <v>13.9</v>
      </c>
      <c r="C105" s="4">
        <v>5.85</v>
      </c>
      <c r="D105" s="4">
        <v>1.18</v>
      </c>
      <c r="E105" s="4">
        <v>3.72</v>
      </c>
      <c r="F105" s="4">
        <v>4.76</v>
      </c>
      <c r="G105" s="4">
        <v>12.4</v>
      </c>
      <c r="I105" s="4">
        <v>-6.9472372814767397E-2</v>
      </c>
      <c r="J105" s="4">
        <v>-3.3616610798984974E-2</v>
      </c>
      <c r="K105" s="4">
        <v>-4.9596941139372179E-2</v>
      </c>
      <c r="L105" s="4">
        <v>-1.0695289116747806E-2</v>
      </c>
      <c r="M105" s="4">
        <v>-4.1928782600360393E-3</v>
      </c>
      <c r="N105" s="4">
        <v>-7.0067562616716955E-2</v>
      </c>
    </row>
    <row r="106" spans="1:14">
      <c r="A106" s="8">
        <v>39945</v>
      </c>
      <c r="B106" s="4">
        <v>14.4</v>
      </c>
      <c r="C106" s="4">
        <v>6.4</v>
      </c>
      <c r="D106" s="4">
        <v>1.18</v>
      </c>
      <c r="E106" s="4">
        <v>3.72</v>
      </c>
      <c r="F106" s="4">
        <v>5.15</v>
      </c>
      <c r="G106" s="4">
        <v>12.5</v>
      </c>
      <c r="I106" s="4">
        <v>3.5339366445308863E-2</v>
      </c>
      <c r="J106" s="4">
        <v>8.9856329121861145E-2</v>
      </c>
      <c r="K106" s="4">
        <v>0</v>
      </c>
      <c r="L106" s="4">
        <v>0</v>
      </c>
      <c r="M106" s="4">
        <v>7.8749046432316283E-2</v>
      </c>
      <c r="N106" s="4">
        <v>8.0321716972642527E-3</v>
      </c>
    </row>
    <row r="107" spans="1:14">
      <c r="A107" s="8">
        <v>39946</v>
      </c>
      <c r="B107" s="4">
        <v>13.9</v>
      </c>
      <c r="C107" s="4">
        <v>7</v>
      </c>
      <c r="D107" s="4">
        <v>1.17</v>
      </c>
      <c r="E107" s="4">
        <v>3.82</v>
      </c>
      <c r="F107" s="4">
        <v>5.6</v>
      </c>
      <c r="G107" s="4">
        <v>12.4</v>
      </c>
      <c r="I107" s="4">
        <v>-3.5339366445308849E-2</v>
      </c>
      <c r="J107" s="4">
        <v>8.9612158689687138E-2</v>
      </c>
      <c r="K107" s="4">
        <v>-8.5106896679086191E-3</v>
      </c>
      <c r="L107" s="4">
        <v>2.6526754333428604E-2</v>
      </c>
      <c r="M107" s="4">
        <v>8.3769883065458739E-2</v>
      </c>
      <c r="N107" s="4">
        <v>-8.0321716972642666E-3</v>
      </c>
    </row>
    <row r="108" spans="1:14">
      <c r="A108" s="8">
        <v>39947</v>
      </c>
      <c r="B108" s="4">
        <v>12.9</v>
      </c>
      <c r="C108" s="4">
        <v>6.45</v>
      </c>
      <c r="D108" s="4">
        <v>1.07</v>
      </c>
      <c r="E108" s="4">
        <v>4</v>
      </c>
      <c r="F108" s="4">
        <v>5.25</v>
      </c>
      <c r="G108" s="4">
        <v>11.7</v>
      </c>
      <c r="I108" s="4">
        <v>-7.4661528769019644E-2</v>
      </c>
      <c r="J108" s="4">
        <v>-8.1830018247632128E-2</v>
      </c>
      <c r="K108" s="4">
        <v>-8.9345100335849859E-2</v>
      </c>
      <c r="L108" s="4">
        <v>4.6043938501406798E-2</v>
      </c>
      <c r="M108" s="4">
        <v>-6.4538521137571053E-2</v>
      </c>
      <c r="N108" s="4">
        <v>-5.8107630807280812E-2</v>
      </c>
    </row>
    <row r="109" spans="1:14">
      <c r="A109" s="8">
        <v>39948</v>
      </c>
      <c r="B109" s="4">
        <v>13.9</v>
      </c>
      <c r="C109" s="4">
        <v>6.7</v>
      </c>
      <c r="D109" s="4">
        <v>1.03</v>
      </c>
      <c r="E109" s="4">
        <v>4</v>
      </c>
      <c r="F109" s="4">
        <v>4.9400000000000004</v>
      </c>
      <c r="G109" s="4">
        <v>12</v>
      </c>
      <c r="I109" s="4">
        <v>7.4661528769019561E-2</v>
      </c>
      <c r="J109" s="4">
        <v>3.8027395589239323E-2</v>
      </c>
      <c r="K109" s="4">
        <v>-3.8099846232270404E-2</v>
      </c>
      <c r="L109" s="4">
        <v>0</v>
      </c>
      <c r="M109" s="4">
        <v>-6.0862745403701207E-2</v>
      </c>
      <c r="N109" s="4">
        <v>2.5317807984290001E-2</v>
      </c>
    </row>
    <row r="110" spans="1:14">
      <c r="A110" s="8">
        <v>39951</v>
      </c>
      <c r="B110" s="4">
        <v>14.6</v>
      </c>
      <c r="C110" s="4">
        <v>6.95</v>
      </c>
      <c r="D110" s="4">
        <v>1.05</v>
      </c>
      <c r="E110" s="4">
        <v>4.0199999999999996</v>
      </c>
      <c r="F110" s="4">
        <v>5.2</v>
      </c>
      <c r="G110" s="4">
        <v>12.6</v>
      </c>
      <c r="I110" s="4">
        <v>4.9132688577644593E-2</v>
      </c>
      <c r="J110" s="4">
        <v>3.6634133179780384E-2</v>
      </c>
      <c r="K110" s="4">
        <v>1.9231361927887592E-2</v>
      </c>
      <c r="L110" s="4">
        <v>4.9875415110389679E-3</v>
      </c>
      <c r="M110" s="4">
        <v>5.1293294387550481E-2</v>
      </c>
      <c r="N110" s="4">
        <v>4.8790164169432049E-2</v>
      </c>
    </row>
    <row r="111" spans="1:14">
      <c r="A111" s="8">
        <v>39952</v>
      </c>
      <c r="B111" s="4">
        <v>14.8</v>
      </c>
      <c r="C111" s="4">
        <v>7.25</v>
      </c>
      <c r="D111" s="4">
        <v>1.08</v>
      </c>
      <c r="E111" s="4">
        <v>4.12</v>
      </c>
      <c r="F111" s="4">
        <v>5.3</v>
      </c>
      <c r="G111" s="4">
        <v>12.7</v>
      </c>
      <c r="I111" s="4">
        <v>1.3605652055778678E-2</v>
      </c>
      <c r="J111" s="4">
        <v>4.2259809289882599E-2</v>
      </c>
      <c r="K111" s="4">
        <v>2.8170876966696439E-2</v>
      </c>
      <c r="L111" s="4">
        <v>2.4571260730505542E-2</v>
      </c>
      <c r="M111" s="4">
        <v>1.9048194970694411E-2</v>
      </c>
      <c r="N111" s="4">
        <v>7.9051795071132473E-3</v>
      </c>
    </row>
    <row r="112" spans="1:14">
      <c r="A112" s="8">
        <v>39953</v>
      </c>
      <c r="B112" s="4">
        <v>14.8</v>
      </c>
      <c r="C112" s="4">
        <v>7.35</v>
      </c>
      <c r="D112" s="4">
        <v>1.1299999999999999</v>
      </c>
      <c r="E112" s="4">
        <v>4.12</v>
      </c>
      <c r="F112" s="4">
        <v>5.2</v>
      </c>
      <c r="G112" s="4">
        <v>12.8</v>
      </c>
      <c r="I112" s="4">
        <v>0</v>
      </c>
      <c r="J112" s="4">
        <v>1.3698844358161927E-2</v>
      </c>
      <c r="K112" s="4">
        <v>4.5256591588120648E-2</v>
      </c>
      <c r="L112" s="4">
        <v>0</v>
      </c>
      <c r="M112" s="4">
        <v>-1.9048194970694363E-2</v>
      </c>
      <c r="N112" s="4">
        <v>7.843177461026099E-3</v>
      </c>
    </row>
    <row r="113" spans="1:14">
      <c r="A113" s="8">
        <v>39954</v>
      </c>
      <c r="B113" s="4">
        <v>14.3</v>
      </c>
      <c r="C113" s="4">
        <v>7.1</v>
      </c>
      <c r="D113" s="4">
        <v>1.22</v>
      </c>
      <c r="E113" s="4">
        <v>4.0599999999999996</v>
      </c>
      <c r="F113" s="4">
        <v>5</v>
      </c>
      <c r="G113" s="4">
        <v>12.7</v>
      </c>
      <c r="I113" s="4">
        <v>-3.4367643504207769E-2</v>
      </c>
      <c r="J113" s="4">
        <v>-3.4605529177475607E-2</v>
      </c>
      <c r="K113" s="4">
        <v>7.6633226020916101E-2</v>
      </c>
      <c r="L113" s="4">
        <v>-1.4670189747793855E-2</v>
      </c>
      <c r="M113" s="4">
        <v>-3.9220713153281385E-2</v>
      </c>
      <c r="N113" s="4">
        <v>-7.8431774610260054E-3</v>
      </c>
    </row>
    <row r="114" spans="1:14">
      <c r="A114" s="8">
        <v>39955</v>
      </c>
      <c r="B114" s="4">
        <v>14.4</v>
      </c>
      <c r="C114" s="4">
        <v>7.75</v>
      </c>
      <c r="D114" s="4">
        <v>1.23</v>
      </c>
      <c r="E114" s="4">
        <v>4.08</v>
      </c>
      <c r="F114" s="4">
        <v>5.05</v>
      </c>
      <c r="G114" s="4">
        <v>12.9</v>
      </c>
      <c r="I114" s="4">
        <v>6.9686693160932152E-3</v>
      </c>
      <c r="J114" s="4">
        <v>8.7598059317985977E-2</v>
      </c>
      <c r="K114" s="4">
        <v>8.1633106391608354E-3</v>
      </c>
      <c r="L114" s="4">
        <v>4.9140148024291626E-3</v>
      </c>
      <c r="M114" s="4">
        <v>9.950330853168092E-3</v>
      </c>
      <c r="N114" s="4">
        <v>1.5625317903081033E-2</v>
      </c>
    </row>
    <row r="115" spans="1:14">
      <c r="A115" s="8">
        <v>39958</v>
      </c>
      <c r="B115" s="4">
        <v>14</v>
      </c>
      <c r="C115" s="4">
        <v>8.15</v>
      </c>
      <c r="D115" s="4">
        <v>1.23</v>
      </c>
      <c r="E115" s="4">
        <v>4.18</v>
      </c>
      <c r="F115" s="4">
        <v>4.92</v>
      </c>
      <c r="G115" s="4">
        <v>12.9</v>
      </c>
      <c r="I115" s="4">
        <v>-2.8170876966696335E-2</v>
      </c>
      <c r="J115" s="4">
        <v>5.0325083887515838E-2</v>
      </c>
      <c r="K115" s="4">
        <v>0</v>
      </c>
      <c r="L115" s="4">
        <v>2.421425812059453E-2</v>
      </c>
      <c r="M115" s="4">
        <v>-2.6079712783051736E-2</v>
      </c>
      <c r="N115" s="4">
        <v>0</v>
      </c>
    </row>
    <row r="116" spans="1:14">
      <c r="A116" s="8">
        <v>39959</v>
      </c>
      <c r="B116" s="4">
        <v>13.8</v>
      </c>
      <c r="C116" s="4">
        <v>7.3</v>
      </c>
      <c r="D116" s="4">
        <v>1.19</v>
      </c>
      <c r="E116" s="4">
        <v>4.2</v>
      </c>
      <c r="F116" s="4">
        <v>4.8600000000000003</v>
      </c>
      <c r="G116" s="4">
        <v>12.8</v>
      </c>
      <c r="I116" s="4">
        <v>-1.4388737452099556E-2</v>
      </c>
      <c r="J116" s="4">
        <v>-0.11014357909842597</v>
      </c>
      <c r="K116" s="4">
        <v>-3.3060862260888176E-2</v>
      </c>
      <c r="L116" s="4">
        <v>4.7732787526578117E-3</v>
      </c>
      <c r="M116" s="4">
        <v>-1.2270092591814247E-2</v>
      </c>
      <c r="N116" s="4">
        <v>-7.7821404420549628E-3</v>
      </c>
    </row>
    <row r="117" spans="1:14">
      <c r="A117" s="8">
        <v>39960</v>
      </c>
      <c r="B117" s="4">
        <v>13.8</v>
      </c>
      <c r="C117" s="4">
        <v>7.65</v>
      </c>
      <c r="D117" s="4">
        <v>1.24</v>
      </c>
      <c r="E117" s="4">
        <v>4.26</v>
      </c>
      <c r="F117" s="4">
        <v>5</v>
      </c>
      <c r="G117" s="4">
        <v>12.9</v>
      </c>
      <c r="I117" s="4">
        <v>0</v>
      </c>
      <c r="J117" s="4">
        <v>4.6831299684098993E-2</v>
      </c>
      <c r="K117" s="4">
        <v>4.1158072493507551E-2</v>
      </c>
      <c r="L117" s="4">
        <v>1.4184634991956381E-2</v>
      </c>
      <c r="M117" s="4">
        <v>2.8399474521697957E-2</v>
      </c>
      <c r="N117" s="4">
        <v>7.782140442054949E-3</v>
      </c>
    </row>
    <row r="118" spans="1:14">
      <c r="A118" s="8">
        <v>39961</v>
      </c>
      <c r="B118" s="4">
        <v>13.9</v>
      </c>
      <c r="C118" s="4">
        <v>7.4</v>
      </c>
      <c r="D118" s="4">
        <v>1.25</v>
      </c>
      <c r="E118" s="4">
        <v>4.24</v>
      </c>
      <c r="F118" s="4">
        <v>5.05</v>
      </c>
      <c r="G118" s="4">
        <v>12.9</v>
      </c>
      <c r="I118" s="4">
        <v>7.2202479734870973E-3</v>
      </c>
      <c r="J118" s="4">
        <v>-3.3225647628320393E-2</v>
      </c>
      <c r="K118" s="4">
        <v>8.0321716972642527E-3</v>
      </c>
      <c r="L118" s="4">
        <v>-4.7058910374125048E-3</v>
      </c>
      <c r="M118" s="4">
        <v>9.950330853168092E-3</v>
      </c>
      <c r="N118" s="4">
        <v>0</v>
      </c>
    </row>
    <row r="119" spans="1:14">
      <c r="A119" s="8">
        <v>39962</v>
      </c>
      <c r="B119" s="4">
        <v>13.9</v>
      </c>
      <c r="C119" s="4">
        <v>7.65</v>
      </c>
      <c r="D119" s="4">
        <v>1.37</v>
      </c>
      <c r="E119" s="4">
        <v>4.24</v>
      </c>
      <c r="F119" s="4">
        <v>5.0999999999999996</v>
      </c>
      <c r="G119" s="4">
        <v>12.9</v>
      </c>
      <c r="I119" s="4">
        <v>0</v>
      </c>
      <c r="J119" s="4">
        <v>3.3225647628320386E-2</v>
      </c>
      <c r="K119" s="4">
        <v>9.1667188525823867E-2</v>
      </c>
      <c r="L119" s="4">
        <v>0</v>
      </c>
      <c r="M119" s="4">
        <v>9.8522964430116395E-3</v>
      </c>
      <c r="N119" s="4">
        <v>0</v>
      </c>
    </row>
    <row r="120" spans="1:14">
      <c r="A120" s="8">
        <v>39965</v>
      </c>
      <c r="B120" s="4">
        <v>13.9</v>
      </c>
      <c r="C120" s="4">
        <v>7.6</v>
      </c>
      <c r="D120" s="4">
        <v>1.42</v>
      </c>
      <c r="E120" s="4">
        <v>4.24</v>
      </c>
      <c r="F120" s="4">
        <v>5.4</v>
      </c>
      <c r="G120" s="4">
        <v>13.1</v>
      </c>
      <c r="I120" s="4">
        <v>0</v>
      </c>
      <c r="J120" s="4">
        <v>-6.5574005461591636E-3</v>
      </c>
      <c r="K120" s="4">
        <v>3.5846131773135663E-2</v>
      </c>
      <c r="L120" s="4">
        <v>0</v>
      </c>
      <c r="M120" s="4">
        <v>5.7158413839948831E-2</v>
      </c>
      <c r="N120" s="4">
        <v>1.5384918839479456E-2</v>
      </c>
    </row>
    <row r="121" spans="1:14">
      <c r="A121" s="8">
        <v>39966</v>
      </c>
      <c r="B121" s="4">
        <v>13.6</v>
      </c>
      <c r="C121" s="4">
        <v>7.2</v>
      </c>
      <c r="D121" s="4">
        <v>1.4</v>
      </c>
      <c r="E121" s="4">
        <v>4.2</v>
      </c>
      <c r="F121" s="4">
        <v>5.2</v>
      </c>
      <c r="G121" s="4">
        <v>13</v>
      </c>
      <c r="I121" s="4">
        <v>-2.1819047394639839E-2</v>
      </c>
      <c r="J121" s="4">
        <v>-5.4067221270275703E-2</v>
      </c>
      <c r="K121" s="4">
        <v>-1.4184634991956413E-2</v>
      </c>
      <c r="L121" s="4">
        <v>-9.47874395454377E-3</v>
      </c>
      <c r="M121" s="4">
        <v>-3.7740327982847086E-2</v>
      </c>
      <c r="N121" s="4">
        <v>-7.6628727455691371E-3</v>
      </c>
    </row>
    <row r="122" spans="1:14">
      <c r="A122" s="8">
        <v>39967</v>
      </c>
      <c r="B122" s="4">
        <v>13.7</v>
      </c>
      <c r="C122" s="4">
        <v>7.4</v>
      </c>
      <c r="D122" s="4">
        <v>1.4</v>
      </c>
      <c r="E122" s="4">
        <v>4.22</v>
      </c>
      <c r="F122" s="4">
        <v>6.15</v>
      </c>
      <c r="G122" s="4">
        <v>13.2</v>
      </c>
      <c r="I122" s="4">
        <v>7.3260400920728812E-3</v>
      </c>
      <c r="J122" s="4">
        <v>2.7398974188114562E-2</v>
      </c>
      <c r="K122" s="4">
        <v>0</v>
      </c>
      <c r="L122" s="4">
        <v>4.7506027585977988E-3</v>
      </c>
      <c r="M122" s="4">
        <v>0.16779345623104486</v>
      </c>
      <c r="N122" s="4">
        <v>1.5267472130788381E-2</v>
      </c>
    </row>
    <row r="123" spans="1:14">
      <c r="A123" s="8">
        <v>39968</v>
      </c>
      <c r="B123" s="4">
        <v>14.2</v>
      </c>
      <c r="C123" s="4">
        <v>7.75</v>
      </c>
      <c r="D123" s="4">
        <v>1.41</v>
      </c>
      <c r="E123" s="4">
        <v>4.28</v>
      </c>
      <c r="F123" s="4">
        <v>6.55</v>
      </c>
      <c r="G123" s="4">
        <v>13.7</v>
      </c>
      <c r="I123" s="4">
        <v>3.5846131773135878E-2</v>
      </c>
      <c r="J123" s="4">
        <v>4.6212843155131411E-2</v>
      </c>
      <c r="K123" s="4">
        <v>7.1174677688639549E-3</v>
      </c>
      <c r="L123" s="4">
        <v>1.4117881545785022E-2</v>
      </c>
      <c r="M123" s="4">
        <v>6.301296782873396E-2</v>
      </c>
      <c r="N123" s="4">
        <v>3.7179003241754029E-2</v>
      </c>
    </row>
    <row r="124" spans="1:14">
      <c r="A124" s="8">
        <v>39969</v>
      </c>
      <c r="B124" s="4">
        <v>14.7</v>
      </c>
      <c r="C124" s="4">
        <v>7.6</v>
      </c>
      <c r="D124" s="4">
        <v>1.45</v>
      </c>
      <c r="E124" s="4">
        <v>4.38</v>
      </c>
      <c r="F124" s="4">
        <v>6.45</v>
      </c>
      <c r="G124" s="4">
        <v>13.7</v>
      </c>
      <c r="I124" s="4">
        <v>3.4605529177475523E-2</v>
      </c>
      <c r="J124" s="4">
        <v>-1.9544596072970283E-2</v>
      </c>
      <c r="K124" s="4">
        <v>2.7973852042406162E-2</v>
      </c>
      <c r="L124" s="4">
        <v>2.3095714794649176E-2</v>
      </c>
      <c r="M124" s="4">
        <v>-1.5384918839479343E-2</v>
      </c>
      <c r="N124" s="4">
        <v>0</v>
      </c>
    </row>
    <row r="125" spans="1:14">
      <c r="A125" s="8">
        <v>39972</v>
      </c>
      <c r="B125" s="4">
        <v>14.1</v>
      </c>
      <c r="C125" s="4">
        <v>7.5</v>
      </c>
      <c r="D125" s="4">
        <v>1.44</v>
      </c>
      <c r="E125" s="4">
        <v>4.78</v>
      </c>
      <c r="F125" s="4">
        <v>6.2</v>
      </c>
      <c r="G125" s="4">
        <v>13.4</v>
      </c>
      <c r="I125" s="4">
        <v>-4.1672696400567956E-2</v>
      </c>
      <c r="J125" s="4">
        <v>-1.3245226750020567E-2</v>
      </c>
      <c r="K125" s="4">
        <v>-6.9204428445737952E-3</v>
      </c>
      <c r="L125" s="4">
        <v>8.7391822115009843E-2</v>
      </c>
      <c r="M125" s="4">
        <v>-3.9530838756635205E-2</v>
      </c>
      <c r="N125" s="4">
        <v>-2.2141125877213518E-2</v>
      </c>
    </row>
    <row r="126" spans="1:14">
      <c r="A126" s="8">
        <v>39973</v>
      </c>
      <c r="B126" s="4">
        <v>14.4</v>
      </c>
      <c r="C126" s="4">
        <v>7.6</v>
      </c>
      <c r="D126" s="4">
        <v>1.46</v>
      </c>
      <c r="E126" s="4">
        <v>4.82</v>
      </c>
      <c r="F126" s="4">
        <v>6.35</v>
      </c>
      <c r="G126" s="4">
        <v>13.7</v>
      </c>
      <c r="I126" s="4">
        <v>2.1053409197832482E-2</v>
      </c>
      <c r="J126" s="4">
        <v>1.3245226750020505E-2</v>
      </c>
      <c r="K126" s="4">
        <v>1.3793322132335769E-2</v>
      </c>
      <c r="L126" s="4">
        <v>8.3333815591442404E-3</v>
      </c>
      <c r="M126" s="4">
        <v>2.3905520853554386E-2</v>
      </c>
      <c r="N126" s="4">
        <v>2.2141125877213501E-2</v>
      </c>
    </row>
    <row r="127" spans="1:14">
      <c r="A127" s="8">
        <v>39974</v>
      </c>
      <c r="B127" s="4">
        <v>14.7</v>
      </c>
      <c r="C127" s="4">
        <v>8</v>
      </c>
      <c r="D127" s="4">
        <v>1.54</v>
      </c>
      <c r="E127" s="4">
        <v>4.76</v>
      </c>
      <c r="F127" s="4">
        <v>6.35</v>
      </c>
      <c r="G127" s="4">
        <v>13.8</v>
      </c>
      <c r="I127" s="4">
        <v>2.061928720273561E-2</v>
      </c>
      <c r="J127" s="4">
        <v>5.1293294387550481E-2</v>
      </c>
      <c r="K127" s="4">
        <v>5.3345980705292714E-2</v>
      </c>
      <c r="L127" s="4">
        <v>-1.2526259819180369E-2</v>
      </c>
      <c r="M127" s="4">
        <v>0</v>
      </c>
      <c r="N127" s="4">
        <v>7.2727593290798781E-3</v>
      </c>
    </row>
    <row r="128" spans="1:14">
      <c r="A128" s="8">
        <v>39975</v>
      </c>
      <c r="B128" s="4">
        <v>14.6</v>
      </c>
      <c r="C128" s="4">
        <v>8.6</v>
      </c>
      <c r="D128" s="4">
        <v>1.52</v>
      </c>
      <c r="E128" s="4">
        <v>4.72</v>
      </c>
      <c r="F128" s="4">
        <v>6.25</v>
      </c>
      <c r="G128" s="4">
        <v>14.1</v>
      </c>
      <c r="I128" s="4">
        <v>-6.8259650703998706E-3</v>
      </c>
      <c r="J128" s="4">
        <v>7.2320661579626078E-2</v>
      </c>
      <c r="K128" s="4">
        <v>-1.3072081567352775E-2</v>
      </c>
      <c r="L128" s="4">
        <v>-8.4388686458645949E-3</v>
      </c>
      <c r="M128" s="4">
        <v>-1.5873349156290122E-2</v>
      </c>
      <c r="N128" s="4">
        <v>2.1506205220963463E-2</v>
      </c>
    </row>
    <row r="129" spans="1:14">
      <c r="A129" s="8">
        <v>39976</v>
      </c>
      <c r="B129" s="4">
        <v>14.9</v>
      </c>
      <c r="C129" s="4">
        <v>8.75</v>
      </c>
      <c r="D129" s="4">
        <v>1.56</v>
      </c>
      <c r="E129" s="4">
        <v>4.76</v>
      </c>
      <c r="F129" s="4">
        <v>6.15</v>
      </c>
      <c r="G129" s="4">
        <v>14</v>
      </c>
      <c r="I129" s="4">
        <v>2.0339684237122783E-2</v>
      </c>
      <c r="J129" s="4">
        <v>1.7291497110061043E-2</v>
      </c>
      <c r="K129" s="4">
        <v>2.5975486403260736E-2</v>
      </c>
      <c r="L129" s="4">
        <v>8.4388686458646035E-3</v>
      </c>
      <c r="M129" s="4">
        <v>-1.6129381929883529E-2</v>
      </c>
      <c r="N129" s="4">
        <v>-7.1174677688639896E-3</v>
      </c>
    </row>
    <row r="130" spans="1:14">
      <c r="A130" s="8">
        <v>39979</v>
      </c>
      <c r="B130" s="4">
        <v>14.4</v>
      </c>
      <c r="C130" s="4">
        <v>8.6</v>
      </c>
      <c r="D130" s="4">
        <v>1.53</v>
      </c>
      <c r="E130" s="4">
        <v>4.72</v>
      </c>
      <c r="F130" s="4">
        <v>5.75</v>
      </c>
      <c r="G130" s="4">
        <v>13.5</v>
      </c>
      <c r="I130" s="4">
        <v>-3.4133006369458471E-2</v>
      </c>
      <c r="J130" s="4">
        <v>-1.7291497110061109E-2</v>
      </c>
      <c r="K130" s="4">
        <v>-1.9418085857101627E-2</v>
      </c>
      <c r="L130" s="4">
        <v>-8.4388686458645949E-3</v>
      </c>
      <c r="M130" s="4">
        <v>-6.7252227009167456E-2</v>
      </c>
      <c r="N130" s="4">
        <v>-3.6367644170874833E-2</v>
      </c>
    </row>
    <row r="131" spans="1:14">
      <c r="A131" s="8">
        <v>39980</v>
      </c>
      <c r="B131" s="4">
        <v>14.5</v>
      </c>
      <c r="C131" s="4">
        <v>8.15</v>
      </c>
      <c r="D131" s="4">
        <v>1.44</v>
      </c>
      <c r="E131" s="4">
        <v>4.5</v>
      </c>
      <c r="F131" s="4">
        <v>5.5</v>
      </c>
      <c r="G131" s="4">
        <v>13.1</v>
      </c>
      <c r="I131" s="4">
        <v>6.920442844573757E-3</v>
      </c>
      <c r="J131" s="4">
        <v>-5.3744276006690572E-2</v>
      </c>
      <c r="K131" s="4">
        <v>-6.0624621816434854E-2</v>
      </c>
      <c r="L131" s="4">
        <v>-4.7731402821189921E-2</v>
      </c>
      <c r="M131" s="4">
        <v>-4.445176257083381E-2</v>
      </c>
      <c r="N131" s="4">
        <v>-3.007745523727795E-2</v>
      </c>
    </row>
    <row r="132" spans="1:14">
      <c r="A132" s="8">
        <v>39981</v>
      </c>
      <c r="B132" s="4">
        <v>14.4</v>
      </c>
      <c r="C132" s="4">
        <v>8.5500000000000007</v>
      </c>
      <c r="D132" s="4">
        <v>1.41</v>
      </c>
      <c r="E132" s="4">
        <v>4.5999999999999996</v>
      </c>
      <c r="F132" s="4">
        <v>5.8</v>
      </c>
      <c r="G132" s="4">
        <v>13.4</v>
      </c>
      <c r="I132" s="4">
        <v>-6.9204428445737952E-3</v>
      </c>
      <c r="J132" s="4">
        <v>4.7913355695897449E-2</v>
      </c>
      <c r="K132" s="4">
        <v>-2.1053409197832381E-2</v>
      </c>
      <c r="L132" s="4">
        <v>2.1978906718775167E-2</v>
      </c>
      <c r="M132" s="4">
        <v>5.3109825313948332E-2</v>
      </c>
      <c r="N132" s="4">
        <v>2.2642476749759971E-2</v>
      </c>
    </row>
    <row r="133" spans="1:14">
      <c r="A133" s="8">
        <v>39982</v>
      </c>
      <c r="B133" s="4">
        <v>13.9</v>
      </c>
      <c r="C133" s="4">
        <v>8.35</v>
      </c>
      <c r="D133" s="4">
        <v>1.39</v>
      </c>
      <c r="E133" s="4">
        <v>4.5199999999999996</v>
      </c>
      <c r="F133" s="4">
        <v>5.55</v>
      </c>
      <c r="G133" s="4">
        <v>13.2</v>
      </c>
      <c r="I133" s="4">
        <v>-3.5339366445308849E-2</v>
      </c>
      <c r="J133" s="4">
        <v>-2.3669744085904849E-2</v>
      </c>
      <c r="K133" s="4">
        <v>-1.4285957247476541E-2</v>
      </c>
      <c r="L133" s="4">
        <v>-1.7544309650909508E-2</v>
      </c>
      <c r="M133" s="4">
        <v>-4.4059989794030543E-2</v>
      </c>
      <c r="N133" s="4">
        <v>-1.5037877364540559E-2</v>
      </c>
    </row>
    <row r="134" spans="1:14">
      <c r="A134" s="8">
        <v>39983</v>
      </c>
      <c r="B134" s="4">
        <v>14.7</v>
      </c>
      <c r="C134" s="4">
        <v>8.75</v>
      </c>
      <c r="D134" s="4">
        <v>1.45</v>
      </c>
      <c r="E134" s="4">
        <v>4.7</v>
      </c>
      <c r="F134" s="4">
        <v>5.65</v>
      </c>
      <c r="G134" s="4">
        <v>13.3</v>
      </c>
      <c r="I134" s="4">
        <v>5.5958653648044414E-2</v>
      </c>
      <c r="J134" s="4">
        <v>4.6792161506758884E-2</v>
      </c>
      <c r="K134" s="4">
        <v>4.2259809289882599E-2</v>
      </c>
      <c r="L134" s="4">
        <v>3.9050514871873249E-2</v>
      </c>
      <c r="M134" s="4">
        <v>1.7857617400006472E-2</v>
      </c>
      <c r="N134" s="4">
        <v>7.5472056353831241E-3</v>
      </c>
    </row>
    <row r="135" spans="1:14">
      <c r="A135" s="8">
        <v>39986</v>
      </c>
      <c r="B135" s="4">
        <v>14.8</v>
      </c>
      <c r="C135" s="4">
        <v>9</v>
      </c>
      <c r="D135" s="4">
        <v>1.44</v>
      </c>
      <c r="E135" s="4">
        <v>4.72</v>
      </c>
      <c r="F135" s="4">
        <v>5.5</v>
      </c>
      <c r="G135" s="4">
        <v>13.4</v>
      </c>
      <c r="I135" s="4">
        <v>6.7796869853787691E-3</v>
      </c>
      <c r="J135" s="4">
        <v>2.8170876966696224E-2</v>
      </c>
      <c r="K135" s="4">
        <v>-6.9204428445737952E-3</v>
      </c>
      <c r="L135" s="4">
        <v>4.246290881451004E-3</v>
      </c>
      <c r="M135" s="4">
        <v>-2.6907452919924382E-2</v>
      </c>
      <c r="N135" s="4">
        <v>7.4906717291576587E-3</v>
      </c>
    </row>
    <row r="136" spans="1:14">
      <c r="A136" s="8">
        <v>39987</v>
      </c>
      <c r="B136" s="4">
        <v>14.5</v>
      </c>
      <c r="C136" s="4">
        <v>8.6</v>
      </c>
      <c r="D136" s="4">
        <v>1.39</v>
      </c>
      <c r="E136" s="4">
        <v>4.62</v>
      </c>
      <c r="F136" s="4">
        <v>5.25</v>
      </c>
      <c r="G136" s="4">
        <v>13.2</v>
      </c>
      <c r="I136" s="4">
        <v>-2.0478531343540676E-2</v>
      </c>
      <c r="J136" s="4">
        <v>-4.5462374076757399E-2</v>
      </c>
      <c r="K136" s="4">
        <v>-3.5339366445308849E-2</v>
      </c>
      <c r="L136" s="4">
        <v>-2.1414094503816473E-2</v>
      </c>
      <c r="M136" s="4">
        <v>-4.6520015634892817E-2</v>
      </c>
      <c r="N136" s="4">
        <v>-1.5037877364540559E-2</v>
      </c>
    </row>
    <row r="137" spans="1:14">
      <c r="A137" s="8">
        <v>39988</v>
      </c>
      <c r="B137" s="4">
        <v>14.6</v>
      </c>
      <c r="C137" s="4">
        <v>8.6999999999999993</v>
      </c>
      <c r="D137" s="4">
        <v>1.45</v>
      </c>
      <c r="E137" s="4">
        <v>4.68</v>
      </c>
      <c r="F137" s="4">
        <v>5.35</v>
      </c>
      <c r="G137" s="4">
        <v>13.3</v>
      </c>
      <c r="I137" s="4">
        <v>6.8728792877620504E-3</v>
      </c>
      <c r="J137" s="4">
        <v>1.1560822401076006E-2</v>
      </c>
      <c r="K137" s="4">
        <v>4.2259809289882599E-2</v>
      </c>
      <c r="L137" s="4">
        <v>1.2903404835907782E-2</v>
      </c>
      <c r="M137" s="4">
        <v>1.8868484304382736E-2</v>
      </c>
      <c r="N137" s="4">
        <v>7.5472056353831241E-3</v>
      </c>
    </row>
    <row r="138" spans="1:14">
      <c r="A138" s="8">
        <v>39989</v>
      </c>
      <c r="B138" s="4">
        <v>14.4</v>
      </c>
      <c r="C138" s="4">
        <v>8.6999999999999993</v>
      </c>
      <c r="D138" s="4">
        <v>1.5</v>
      </c>
      <c r="E138" s="4">
        <v>4.7</v>
      </c>
      <c r="F138" s="4">
        <v>5.55</v>
      </c>
      <c r="G138" s="4">
        <v>13.4</v>
      </c>
      <c r="I138" s="4">
        <v>-1.3793322132335761E-2</v>
      </c>
      <c r="J138" s="4">
        <v>0</v>
      </c>
      <c r="K138" s="4">
        <v>3.3901551675681416E-2</v>
      </c>
      <c r="L138" s="4">
        <v>4.2643987864577392E-3</v>
      </c>
      <c r="M138" s="4">
        <v>3.6701366850427963E-2</v>
      </c>
      <c r="N138" s="4">
        <v>7.4906717291576587E-3</v>
      </c>
    </row>
    <row r="139" spans="1:14">
      <c r="A139" s="8">
        <v>39990</v>
      </c>
      <c r="B139" s="4">
        <v>14.5</v>
      </c>
      <c r="C139" s="4">
        <v>8.4499999999999993</v>
      </c>
      <c r="D139" s="4">
        <v>1.49</v>
      </c>
      <c r="E139" s="4">
        <v>4.68</v>
      </c>
      <c r="F139" s="4">
        <v>5.5</v>
      </c>
      <c r="G139" s="4">
        <v>13.3</v>
      </c>
      <c r="I139" s="4">
        <v>6.920442844573757E-3</v>
      </c>
      <c r="J139" s="4">
        <v>-2.9156584291455578E-2</v>
      </c>
      <c r="K139" s="4">
        <v>-6.688988150796652E-3</v>
      </c>
      <c r="L139" s="4">
        <v>-4.2643987864576507E-3</v>
      </c>
      <c r="M139" s="4">
        <v>-9.0498355199179273E-3</v>
      </c>
      <c r="N139" s="4">
        <v>-7.4906717291576257E-3</v>
      </c>
    </row>
    <row r="140" spans="1:14">
      <c r="A140" s="8">
        <v>39993</v>
      </c>
      <c r="B140" s="4">
        <v>16.899999999999999</v>
      </c>
      <c r="C140" s="4">
        <v>8.6</v>
      </c>
      <c r="D140" s="4">
        <v>1.49</v>
      </c>
      <c r="E140" s="4">
        <v>4.76</v>
      </c>
      <c r="F140" s="4">
        <v>5.65</v>
      </c>
      <c r="G140" s="4">
        <v>14</v>
      </c>
      <c r="I140" s="4">
        <v>0.15316497250249897</v>
      </c>
      <c r="J140" s="4">
        <v>1.759576189037966E-2</v>
      </c>
      <c r="K140" s="4">
        <v>0</v>
      </c>
      <c r="L140" s="4">
        <v>1.6949558313773205E-2</v>
      </c>
      <c r="M140" s="4">
        <v>2.6907452919924402E-2</v>
      </c>
      <c r="N140" s="4">
        <v>5.1293294387550481E-2</v>
      </c>
    </row>
    <row r="141" spans="1:14">
      <c r="A141" s="8">
        <v>39994</v>
      </c>
      <c r="B141" s="4">
        <v>16.3</v>
      </c>
      <c r="C141" s="4">
        <v>8.4</v>
      </c>
      <c r="D141" s="4">
        <v>1.44</v>
      </c>
      <c r="E141" s="4">
        <v>4.78</v>
      </c>
      <c r="F141" s="4">
        <v>5.6</v>
      </c>
      <c r="G141" s="4">
        <v>13.7</v>
      </c>
      <c r="I141" s="4">
        <v>-3.6148514116310981E-2</v>
      </c>
      <c r="J141" s="4">
        <v>-2.3530497410194046E-2</v>
      </c>
      <c r="K141" s="4">
        <v>-3.4133006369458582E-2</v>
      </c>
      <c r="L141" s="4">
        <v>4.1928782600361781E-3</v>
      </c>
      <c r="M141" s="4">
        <v>-8.888947417246152E-3</v>
      </c>
      <c r="N141" s="4">
        <v>-2.1661496781179419E-2</v>
      </c>
    </row>
    <row r="142" spans="1:14">
      <c r="A142" s="8">
        <v>39996</v>
      </c>
      <c r="B142" s="4">
        <v>15.8</v>
      </c>
      <c r="C142" s="4">
        <v>8.1999999999999993</v>
      </c>
      <c r="D142" s="4">
        <v>1.41</v>
      </c>
      <c r="E142" s="4">
        <v>4.8</v>
      </c>
      <c r="F142" s="4">
        <v>6.3</v>
      </c>
      <c r="G142" s="4">
        <v>13.3</v>
      </c>
      <c r="I142" s="4">
        <v>-3.1155167779795576E-2</v>
      </c>
      <c r="J142" s="4">
        <v>-2.4097551579060641E-2</v>
      </c>
      <c r="K142" s="4">
        <v>-2.1053409197832381E-2</v>
      </c>
      <c r="L142" s="4">
        <v>4.175371410480592E-3</v>
      </c>
      <c r="M142" s="4">
        <v>0.11778303565638346</v>
      </c>
      <c r="N142" s="4">
        <v>-2.9631797606371E-2</v>
      </c>
    </row>
    <row r="143" spans="1:14">
      <c r="A143" s="8">
        <v>39997</v>
      </c>
      <c r="B143" s="4">
        <v>16.2</v>
      </c>
      <c r="C143" s="4">
        <v>8.15</v>
      </c>
      <c r="D143" s="4">
        <v>1.41</v>
      </c>
      <c r="E143" s="4">
        <v>4.78</v>
      </c>
      <c r="F143" s="4">
        <v>6.2</v>
      </c>
      <c r="G143" s="4">
        <v>13.3</v>
      </c>
      <c r="I143" s="4">
        <v>2.5001302205417186E-2</v>
      </c>
      <c r="J143" s="4">
        <v>-6.1162270174359825E-3</v>
      </c>
      <c r="K143" s="4">
        <v>0</v>
      </c>
      <c r="L143" s="4">
        <v>-4.1753714104805105E-3</v>
      </c>
      <c r="M143" s="4">
        <v>-1.6000341346441075E-2</v>
      </c>
      <c r="N143" s="4">
        <v>0</v>
      </c>
    </row>
    <row r="144" spans="1:14">
      <c r="A144" s="8">
        <v>40002</v>
      </c>
      <c r="B144" s="4">
        <v>17</v>
      </c>
      <c r="C144" s="4">
        <v>8.1</v>
      </c>
      <c r="D144" s="4">
        <v>1.37</v>
      </c>
      <c r="E144" s="4">
        <v>4.76</v>
      </c>
      <c r="F144" s="4">
        <v>5.75</v>
      </c>
      <c r="G144" s="4">
        <v>13.5</v>
      </c>
      <c r="I144" s="4">
        <v>4.8202101817877686E-2</v>
      </c>
      <c r="J144" s="4">
        <v>-6.1538655743783354E-3</v>
      </c>
      <c r="K144" s="4">
        <v>-2.8778964550043175E-2</v>
      </c>
      <c r="L144" s="4">
        <v>-4.1928782600360393E-3</v>
      </c>
      <c r="M144" s="4">
        <v>-7.5349437241786846E-2</v>
      </c>
      <c r="N144" s="4">
        <v>1.4925650216675574E-2</v>
      </c>
    </row>
    <row r="145" spans="1:14">
      <c r="A145" s="8">
        <v>40003</v>
      </c>
      <c r="B145" s="4">
        <v>16.8</v>
      </c>
      <c r="C145" s="4">
        <v>8.5</v>
      </c>
      <c r="D145" s="4">
        <v>1.44</v>
      </c>
      <c r="E145" s="4">
        <v>4.82</v>
      </c>
      <c r="F145" s="4">
        <v>5.95</v>
      </c>
      <c r="G145" s="4">
        <v>13.5</v>
      </c>
      <c r="I145" s="4">
        <v>-1.1834457647002796E-2</v>
      </c>
      <c r="J145" s="4">
        <v>4.8202101817877686E-2</v>
      </c>
      <c r="K145" s="4">
        <v>4.9832373747875539E-2</v>
      </c>
      <c r="L145" s="4">
        <v>1.2526259819180477E-2</v>
      </c>
      <c r="M145" s="4">
        <v>3.4191364748279343E-2</v>
      </c>
      <c r="N145" s="4">
        <v>0</v>
      </c>
    </row>
    <row r="146" spans="1:14">
      <c r="A146" s="8">
        <v>40004</v>
      </c>
      <c r="B146" s="4">
        <v>17.100000000000001</v>
      </c>
      <c r="C146" s="4">
        <v>8.4499999999999993</v>
      </c>
      <c r="D146" s="4">
        <v>1.4</v>
      </c>
      <c r="E146" s="4">
        <v>4.8</v>
      </c>
      <c r="F146" s="4">
        <v>5.55</v>
      </c>
      <c r="G146" s="4">
        <v>13.1</v>
      </c>
      <c r="I146" s="4">
        <v>1.7699577099400857E-2</v>
      </c>
      <c r="J146" s="4">
        <v>-5.8997221271883827E-3</v>
      </c>
      <c r="K146" s="4">
        <v>-2.8170876966696335E-2</v>
      </c>
      <c r="L146" s="4">
        <v>-4.1580101486637881E-3</v>
      </c>
      <c r="M146" s="4">
        <v>-6.959329179919535E-2</v>
      </c>
      <c r="N146" s="4">
        <v>-3.007745523727795E-2</v>
      </c>
    </row>
    <row r="147" spans="1:14">
      <c r="A147" s="8">
        <v>40007</v>
      </c>
      <c r="B147" s="4">
        <v>16.7</v>
      </c>
      <c r="C147" s="4">
        <v>8.25</v>
      </c>
      <c r="D147" s="4">
        <v>1.39</v>
      </c>
      <c r="E147" s="4">
        <v>4.72</v>
      </c>
      <c r="F147" s="4">
        <v>5.45</v>
      </c>
      <c r="G147" s="4">
        <v>12.7</v>
      </c>
      <c r="I147" s="4">
        <v>-2.3669744085904849E-2</v>
      </c>
      <c r="J147" s="4">
        <v>-2.3953241022492758E-2</v>
      </c>
      <c r="K147" s="4">
        <v>-7.168489478612516E-3</v>
      </c>
      <c r="L147" s="4">
        <v>-1.6807118316381289E-2</v>
      </c>
      <c r="M147" s="4">
        <v>-1.818231908319036E-2</v>
      </c>
      <c r="N147" s="4">
        <v>-3.1010236742560322E-2</v>
      </c>
    </row>
    <row r="148" spans="1:14">
      <c r="A148" s="8">
        <v>40008</v>
      </c>
      <c r="B148" s="4">
        <v>16.899999999999999</v>
      </c>
      <c r="C148" s="4">
        <v>8.4499999999999993</v>
      </c>
      <c r="D148" s="4">
        <v>1.48</v>
      </c>
      <c r="E148" s="4">
        <v>4.76</v>
      </c>
      <c r="F148" s="4">
        <v>5.65</v>
      </c>
      <c r="G148" s="4">
        <v>13</v>
      </c>
      <c r="I148" s="4">
        <v>1.1904902506318239E-2</v>
      </c>
      <c r="J148" s="4">
        <v>2.3953241022492796E-2</v>
      </c>
      <c r="K148" s="4">
        <v>6.2738340633423345E-2</v>
      </c>
      <c r="L148" s="4">
        <v>8.4388686458646035E-3</v>
      </c>
      <c r="M148" s="4">
        <v>3.6039936483196873E-2</v>
      </c>
      <c r="N148" s="4">
        <v>2.3347363996991107E-2</v>
      </c>
    </row>
    <row r="149" spans="1:14">
      <c r="A149" s="8">
        <v>40009</v>
      </c>
      <c r="B149" s="4">
        <v>16.899999999999999</v>
      </c>
      <c r="C149" s="4">
        <v>8.6</v>
      </c>
      <c r="D149" s="4">
        <v>1.48</v>
      </c>
      <c r="E149" s="4">
        <v>4.8</v>
      </c>
      <c r="F149" s="4">
        <v>5.8</v>
      </c>
      <c r="G149" s="4">
        <v>13.2</v>
      </c>
      <c r="I149" s="4">
        <v>0</v>
      </c>
      <c r="J149" s="4">
        <v>1.759576189037966E-2</v>
      </c>
      <c r="K149" s="4">
        <v>0</v>
      </c>
      <c r="L149" s="4">
        <v>8.3682496705165792E-3</v>
      </c>
      <c r="M149" s="4">
        <v>2.6202372394023902E-2</v>
      </c>
      <c r="N149" s="4">
        <v>1.5267472130788381E-2</v>
      </c>
    </row>
    <row r="150" spans="1:14">
      <c r="A150" s="8">
        <v>40010</v>
      </c>
      <c r="B150" s="4">
        <v>16.899999999999999</v>
      </c>
      <c r="C150" s="4">
        <v>8.65</v>
      </c>
      <c r="D150" s="4">
        <v>1.46</v>
      </c>
      <c r="E150" s="4">
        <v>4.8</v>
      </c>
      <c r="F150" s="4">
        <v>5.6</v>
      </c>
      <c r="G150" s="4">
        <v>13.1</v>
      </c>
      <c r="I150" s="4">
        <v>0</v>
      </c>
      <c r="J150" s="4">
        <v>5.7971176843259146E-3</v>
      </c>
      <c r="K150" s="4">
        <v>-1.3605652055778598E-2</v>
      </c>
      <c r="L150" s="4">
        <v>0</v>
      </c>
      <c r="M150" s="4">
        <v>-3.5091319811270172E-2</v>
      </c>
      <c r="N150" s="4">
        <v>-7.6045993852193036E-3</v>
      </c>
    </row>
    <row r="151" spans="1:14">
      <c r="A151" s="8">
        <v>40011</v>
      </c>
      <c r="B151" s="4">
        <v>17.7</v>
      </c>
      <c r="C151" s="4">
        <v>8.9</v>
      </c>
      <c r="D151" s="4">
        <v>1.51</v>
      </c>
      <c r="E151" s="4">
        <v>4.82</v>
      </c>
      <c r="F151" s="4">
        <v>5.85</v>
      </c>
      <c r="G151" s="4">
        <v>13.4</v>
      </c>
      <c r="I151" s="4">
        <v>4.6251017650755691E-2</v>
      </c>
      <c r="J151" s="4">
        <v>2.8491955794306242E-2</v>
      </c>
      <c r="K151" s="4">
        <v>3.3673215106588023E-2</v>
      </c>
      <c r="L151" s="4">
        <v>4.1580101486638982E-3</v>
      </c>
      <c r="M151" s="4">
        <v>4.3675063502661635E-2</v>
      </c>
      <c r="N151" s="4">
        <v>2.2642476749759971E-2</v>
      </c>
    </row>
    <row r="152" spans="1:14">
      <c r="A152" s="8">
        <v>40014</v>
      </c>
      <c r="B152" s="4">
        <v>17.7</v>
      </c>
      <c r="C152" s="4">
        <v>9.3000000000000007</v>
      </c>
      <c r="D152" s="4">
        <v>1.59</v>
      </c>
      <c r="E152" s="4">
        <v>4.9000000000000004</v>
      </c>
      <c r="F152" s="4">
        <v>5.95</v>
      </c>
      <c r="G152" s="4">
        <v>13.5</v>
      </c>
      <c r="I152" s="4">
        <v>0</v>
      </c>
      <c r="J152" s="4">
        <v>4.3963123421116204E-2</v>
      </c>
      <c r="K152" s="4">
        <v>5.1624365405307245E-2</v>
      </c>
      <c r="L152" s="4">
        <v>1.6461277054071931E-2</v>
      </c>
      <c r="M152" s="4">
        <v>1.6949558313773424E-2</v>
      </c>
      <c r="N152" s="4">
        <v>7.4349784875179905E-3</v>
      </c>
    </row>
    <row r="153" spans="1:14">
      <c r="A153" s="8">
        <v>40015</v>
      </c>
      <c r="B153" s="4">
        <v>17.5</v>
      </c>
      <c r="C153" s="4">
        <v>9.4499999999999993</v>
      </c>
      <c r="D153" s="4">
        <v>1.69</v>
      </c>
      <c r="E153" s="4">
        <v>4.88</v>
      </c>
      <c r="F153" s="4">
        <v>5.85</v>
      </c>
      <c r="G153" s="4">
        <v>13.7</v>
      </c>
      <c r="I153" s="4">
        <v>-1.1363758650315095E-2</v>
      </c>
      <c r="J153" s="4">
        <v>1.6000341346440902E-2</v>
      </c>
      <c r="K153" s="4">
        <v>6.0994512702841931E-2</v>
      </c>
      <c r="L153" s="4">
        <v>-4.0899852515251661E-3</v>
      </c>
      <c r="M153" s="4">
        <v>-1.694955831377332E-2</v>
      </c>
      <c r="N153" s="4">
        <v>1.4706147389695487E-2</v>
      </c>
    </row>
    <row r="154" spans="1:14">
      <c r="A154" s="8">
        <v>40016</v>
      </c>
      <c r="B154" s="4">
        <v>17.3</v>
      </c>
      <c r="C154" s="4">
        <v>9.5500000000000007</v>
      </c>
      <c r="D154" s="4">
        <v>1.62</v>
      </c>
      <c r="E154" s="4">
        <v>4.8</v>
      </c>
      <c r="F154" s="4">
        <v>6.05</v>
      </c>
      <c r="G154" s="4">
        <v>13.4</v>
      </c>
      <c r="I154" s="4">
        <v>-1.1494379425735021E-2</v>
      </c>
      <c r="J154" s="4">
        <v>1.0526412986987603E-2</v>
      </c>
      <c r="K154" s="4">
        <v>-4.2302379690689271E-2</v>
      </c>
      <c r="L154" s="4">
        <v>-1.6529301951210582E-2</v>
      </c>
      <c r="M154" s="4">
        <v>3.3616610798985064E-2</v>
      </c>
      <c r="N154" s="4">
        <v>-2.2141125877213518E-2</v>
      </c>
    </row>
    <row r="155" spans="1:14">
      <c r="A155" s="8">
        <v>40017</v>
      </c>
      <c r="B155" s="4">
        <v>17.600000000000001</v>
      </c>
      <c r="C155" s="4">
        <v>9.4499999999999993</v>
      </c>
      <c r="D155" s="4">
        <v>1.68</v>
      </c>
      <c r="E155" s="4">
        <v>4.84</v>
      </c>
      <c r="F155" s="4">
        <v>6.35</v>
      </c>
      <c r="G155" s="4">
        <v>13.8</v>
      </c>
      <c r="I155" s="4">
        <v>1.7192400540372771E-2</v>
      </c>
      <c r="J155" s="4">
        <v>-1.0526412986987617E-2</v>
      </c>
      <c r="K155" s="4">
        <v>3.6367644170874791E-2</v>
      </c>
      <c r="L155" s="4">
        <v>8.2988028146950641E-3</v>
      </c>
      <c r="M155" s="4">
        <v>4.8396540861850239E-2</v>
      </c>
      <c r="N155" s="4">
        <v>2.9413885206293407E-2</v>
      </c>
    </row>
    <row r="156" spans="1:14">
      <c r="A156" s="8">
        <v>40018</v>
      </c>
      <c r="B156" s="4">
        <v>17.8</v>
      </c>
      <c r="C156" s="4">
        <v>9.85</v>
      </c>
      <c r="D156" s="4">
        <v>1.7</v>
      </c>
      <c r="E156" s="4">
        <v>4.8600000000000003</v>
      </c>
      <c r="F156" s="4">
        <v>6.5</v>
      </c>
      <c r="G156" s="4">
        <v>13.7</v>
      </c>
      <c r="I156" s="4">
        <v>1.1299555253933247E-2</v>
      </c>
      <c r="J156" s="4">
        <v>4.1456713678346128E-2</v>
      </c>
      <c r="K156" s="4">
        <v>1.1834457647002798E-2</v>
      </c>
      <c r="L156" s="4">
        <v>4.1237171838621562E-3</v>
      </c>
      <c r="M156" s="4">
        <v>2.3347363996991107E-2</v>
      </c>
      <c r="N156" s="4">
        <v>-7.2727593290799206E-3</v>
      </c>
    </row>
    <row r="157" spans="1:14">
      <c r="A157" s="8">
        <v>40021</v>
      </c>
      <c r="B157" s="4">
        <v>18</v>
      </c>
      <c r="C157" s="4">
        <v>10.1</v>
      </c>
      <c r="D157" s="4">
        <v>1.67</v>
      </c>
      <c r="E157" s="4">
        <v>4.88</v>
      </c>
      <c r="F157" s="4">
        <v>6.85</v>
      </c>
      <c r="G157" s="4">
        <v>13.7</v>
      </c>
      <c r="I157" s="4">
        <v>1.1173300598125255E-2</v>
      </c>
      <c r="J157" s="4">
        <v>2.506396866321622E-2</v>
      </c>
      <c r="K157" s="4">
        <v>-1.7804624633506707E-2</v>
      </c>
      <c r="L157" s="4">
        <v>4.1067819526532812E-3</v>
      </c>
      <c r="M157" s="4">
        <v>5.2446475372542524E-2</v>
      </c>
      <c r="N157" s="4">
        <v>0</v>
      </c>
    </row>
    <row r="158" spans="1:14">
      <c r="A158" s="8">
        <v>40022</v>
      </c>
      <c r="B158" s="4">
        <v>17.899999999999999</v>
      </c>
      <c r="C158" s="4">
        <v>9.8000000000000007</v>
      </c>
      <c r="D158" s="4">
        <v>1.71</v>
      </c>
      <c r="E158" s="4">
        <v>5.0999999999999996</v>
      </c>
      <c r="F158" s="4">
        <v>6.85</v>
      </c>
      <c r="G158" s="4">
        <v>13.7</v>
      </c>
      <c r="I158" s="4">
        <v>-5.571045049455472E-3</v>
      </c>
      <c r="J158" s="4">
        <v>-3.0153038170687443E-2</v>
      </c>
      <c r="K158" s="4">
        <v>2.3669744085904703E-2</v>
      </c>
      <c r="L158" s="4">
        <v>4.4095319865224164E-2</v>
      </c>
      <c r="M158" s="4">
        <v>0</v>
      </c>
      <c r="N158" s="4">
        <v>0</v>
      </c>
    </row>
    <row r="159" spans="1:14">
      <c r="A159" s="8">
        <v>40023</v>
      </c>
      <c r="B159" s="4">
        <v>17.600000000000001</v>
      </c>
      <c r="C159" s="4">
        <v>9.4499999999999993</v>
      </c>
      <c r="D159" s="4">
        <v>1.75</v>
      </c>
      <c r="E159" s="4">
        <v>5.0999999999999996</v>
      </c>
      <c r="F159" s="4">
        <v>6.75</v>
      </c>
      <c r="G159" s="4">
        <v>13.7</v>
      </c>
      <c r="I159" s="4">
        <v>-1.6901810802603025E-2</v>
      </c>
      <c r="J159" s="4">
        <v>-3.6367644170874951E-2</v>
      </c>
      <c r="K159" s="4">
        <v>2.3122417420854212E-2</v>
      </c>
      <c r="L159" s="4">
        <v>0</v>
      </c>
      <c r="M159" s="4">
        <v>-1.4706147389695449E-2</v>
      </c>
      <c r="N159" s="4">
        <v>0</v>
      </c>
    </row>
    <row r="160" spans="1:14">
      <c r="A160" s="8">
        <v>40024</v>
      </c>
      <c r="B160" s="4">
        <v>17.600000000000001</v>
      </c>
      <c r="C160" s="4">
        <v>9.6</v>
      </c>
      <c r="D160" s="4">
        <v>1.85</v>
      </c>
      <c r="E160" s="4">
        <v>5.15</v>
      </c>
      <c r="F160" s="4">
        <v>7.2</v>
      </c>
      <c r="G160" s="4">
        <v>13.8</v>
      </c>
      <c r="I160" s="4">
        <v>0</v>
      </c>
      <c r="J160" s="4">
        <v>1.5748356968139112E-2</v>
      </c>
      <c r="K160" s="4">
        <v>5.5569851154810786E-2</v>
      </c>
      <c r="L160" s="4">
        <v>9.7561749453648743E-3</v>
      </c>
      <c r="M160" s="4">
        <v>6.4538521137571164E-2</v>
      </c>
      <c r="N160" s="4">
        <v>7.2727593290798781E-3</v>
      </c>
    </row>
    <row r="161" spans="1:14">
      <c r="A161" s="8">
        <v>40025</v>
      </c>
      <c r="B161" s="4">
        <v>18</v>
      </c>
      <c r="C161" s="4">
        <v>9.6</v>
      </c>
      <c r="D161" s="4">
        <v>1.79</v>
      </c>
      <c r="E161" s="4">
        <v>5.25</v>
      </c>
      <c r="F161" s="4">
        <v>7.1</v>
      </c>
      <c r="G161" s="4">
        <v>13.8</v>
      </c>
      <c r="I161" s="4">
        <v>2.2472855852058576E-2</v>
      </c>
      <c r="J161" s="4">
        <v>0</v>
      </c>
      <c r="K161" s="4">
        <v>-3.2970019237569828E-2</v>
      </c>
      <c r="L161" s="4">
        <v>1.9231361927887592E-2</v>
      </c>
      <c r="M161" s="4">
        <v>-1.3986241974739952E-2</v>
      </c>
      <c r="N161" s="4">
        <v>0</v>
      </c>
    </row>
    <row r="162" spans="1:14">
      <c r="A162" s="8">
        <v>40028</v>
      </c>
      <c r="B162" s="4">
        <v>18.8</v>
      </c>
      <c r="C162" s="4">
        <v>9.8000000000000007</v>
      </c>
      <c r="D162" s="4">
        <v>1.81</v>
      </c>
      <c r="E162" s="4">
        <v>5.25</v>
      </c>
      <c r="F162" s="4">
        <v>7.35</v>
      </c>
      <c r="G162" s="4">
        <v>14</v>
      </c>
      <c r="I162" s="4">
        <v>4.3485111939738891E-2</v>
      </c>
      <c r="J162" s="4">
        <v>2.0619287202735825E-2</v>
      </c>
      <c r="K162" s="4">
        <v>1.1111225425070849E-2</v>
      </c>
      <c r="L162" s="4">
        <v>0</v>
      </c>
      <c r="M162" s="4">
        <v>3.4605529177475523E-2</v>
      </c>
      <c r="N162" s="4">
        <v>1.4388737452099452E-2</v>
      </c>
    </row>
    <row r="163" spans="1:14">
      <c r="A163" s="8">
        <v>40029</v>
      </c>
      <c r="B163" s="4">
        <v>18.399999999999999</v>
      </c>
      <c r="C163" s="4">
        <v>9.8000000000000007</v>
      </c>
      <c r="D163" s="4">
        <v>1.8</v>
      </c>
      <c r="E163" s="4">
        <v>5.25</v>
      </c>
      <c r="F163" s="4">
        <v>7.1</v>
      </c>
      <c r="G163" s="4">
        <v>13.8</v>
      </c>
      <c r="I163" s="4">
        <v>-2.150620522096373E-2</v>
      </c>
      <c r="J163" s="4">
        <v>0</v>
      </c>
      <c r="K163" s="4">
        <v>-5.5401803756153561E-3</v>
      </c>
      <c r="L163" s="4">
        <v>0</v>
      </c>
      <c r="M163" s="4">
        <v>-3.4605529177475607E-2</v>
      </c>
      <c r="N163" s="4">
        <v>-1.4388737452099556E-2</v>
      </c>
    </row>
    <row r="164" spans="1:14">
      <c r="A164" s="8">
        <v>40030</v>
      </c>
      <c r="B164" s="4">
        <v>18.399999999999999</v>
      </c>
      <c r="C164" s="4">
        <v>9.6999999999999993</v>
      </c>
      <c r="D164" s="4">
        <v>1.78</v>
      </c>
      <c r="E164" s="4">
        <v>5.2</v>
      </c>
      <c r="F164" s="4">
        <v>6.9</v>
      </c>
      <c r="G164" s="4">
        <v>13.6</v>
      </c>
      <c r="I164" s="4">
        <v>0</v>
      </c>
      <c r="J164" s="4">
        <v>-1.0256500167189221E-2</v>
      </c>
      <c r="K164" s="4">
        <v>-1.1173300598125189E-2</v>
      </c>
      <c r="L164" s="4">
        <v>-9.5694510161506725E-3</v>
      </c>
      <c r="M164" s="4">
        <v>-2.8573372444055885E-2</v>
      </c>
      <c r="N164" s="4">
        <v>-1.4598799421152749E-2</v>
      </c>
    </row>
    <row r="165" spans="1:14">
      <c r="A165" s="8">
        <v>40031</v>
      </c>
      <c r="B165" s="4">
        <v>18.5</v>
      </c>
      <c r="C165" s="4">
        <v>9.65</v>
      </c>
      <c r="D165" s="4">
        <v>1.81</v>
      </c>
      <c r="E165" s="4">
        <v>5.45</v>
      </c>
      <c r="F165" s="4">
        <v>7</v>
      </c>
      <c r="G165" s="4">
        <v>13.8</v>
      </c>
      <c r="I165" s="4">
        <v>5.4200674693393345E-3</v>
      </c>
      <c r="J165" s="4">
        <v>-5.1679701584424493E-3</v>
      </c>
      <c r="K165" s="4">
        <v>1.6713480973740532E-2</v>
      </c>
      <c r="L165" s="4">
        <v>4.6956983087771083E-2</v>
      </c>
      <c r="M165" s="4">
        <v>1.4388737452099452E-2</v>
      </c>
      <c r="N165" s="4">
        <v>1.4598799421152851E-2</v>
      </c>
    </row>
    <row r="166" spans="1:14">
      <c r="A166" s="8">
        <v>40032</v>
      </c>
      <c r="B166" s="4">
        <v>19.5</v>
      </c>
      <c r="C166" s="4">
        <v>9.6</v>
      </c>
      <c r="D166" s="4">
        <v>1.79</v>
      </c>
      <c r="E166" s="4">
        <v>5.55</v>
      </c>
      <c r="F166" s="4">
        <v>6.9</v>
      </c>
      <c r="G166" s="4">
        <v>13.8</v>
      </c>
      <c r="I166" s="4">
        <v>5.2643733485421881E-2</v>
      </c>
      <c r="J166" s="4">
        <v>-5.1948168771040228E-3</v>
      </c>
      <c r="K166" s="4">
        <v>-1.1111225425070722E-2</v>
      </c>
      <c r="L166" s="4">
        <v>1.8182319083190328E-2</v>
      </c>
      <c r="M166" s="4">
        <v>-1.4388737452099556E-2</v>
      </c>
      <c r="N166" s="4">
        <v>0</v>
      </c>
    </row>
    <row r="167" spans="1:14">
      <c r="A167" s="8">
        <v>40035</v>
      </c>
      <c r="B167" s="4">
        <v>20.6</v>
      </c>
      <c r="C167" s="4">
        <v>9.75</v>
      </c>
      <c r="D167" s="4">
        <v>1.76</v>
      </c>
      <c r="E167" s="4">
        <v>5.75</v>
      </c>
      <c r="F167" s="4">
        <v>6.85</v>
      </c>
      <c r="G167" s="4">
        <v>13.7</v>
      </c>
      <c r="I167" s="4">
        <v>5.4876610225834302E-2</v>
      </c>
      <c r="J167" s="4">
        <v>1.5504186535965254E-2</v>
      </c>
      <c r="K167" s="4">
        <v>-1.6901810802603254E-2</v>
      </c>
      <c r="L167" s="4">
        <v>3.5401927050916E-2</v>
      </c>
      <c r="M167" s="4">
        <v>-7.2727593290799206E-3</v>
      </c>
      <c r="N167" s="4">
        <v>-7.2727593290799206E-3</v>
      </c>
    </row>
    <row r="168" spans="1:14">
      <c r="A168" s="8">
        <v>40036</v>
      </c>
      <c r="B168" s="4">
        <v>21.4</v>
      </c>
      <c r="C168" s="4">
        <v>9.9499999999999993</v>
      </c>
      <c r="D168" s="4">
        <v>1.78</v>
      </c>
      <c r="E168" s="4">
        <v>5.7</v>
      </c>
      <c r="F168" s="4">
        <v>7</v>
      </c>
      <c r="G168" s="4">
        <v>14.2</v>
      </c>
      <c r="I168" s="4">
        <v>3.8099846232270175E-2</v>
      </c>
      <c r="J168" s="4">
        <v>2.0305266160745523E-2</v>
      </c>
      <c r="K168" s="4">
        <v>1.1299555253933466E-2</v>
      </c>
      <c r="L168" s="4">
        <v>-8.7336799687545534E-3</v>
      </c>
      <c r="M168" s="4">
        <v>2.1661496781179467E-2</v>
      </c>
      <c r="N168" s="4">
        <v>3.5846131773135878E-2</v>
      </c>
    </row>
    <row r="169" spans="1:14">
      <c r="A169" s="8">
        <v>40038</v>
      </c>
      <c r="B169" s="4">
        <v>22</v>
      </c>
      <c r="C169" s="4">
        <v>10.1</v>
      </c>
      <c r="D169" s="4">
        <v>1.81</v>
      </c>
      <c r="E169" s="4">
        <v>5.9</v>
      </c>
      <c r="F169" s="4">
        <v>7.35</v>
      </c>
      <c r="G169" s="4">
        <v>14.4</v>
      </c>
      <c r="I169" s="4">
        <v>2.7651531330510164E-2</v>
      </c>
      <c r="J169" s="4">
        <v>1.496287267671232E-2</v>
      </c>
      <c r="K169" s="4">
        <v>1.6713480973740532E-2</v>
      </c>
      <c r="L169" s="4">
        <v>3.4486176071169404E-2</v>
      </c>
      <c r="M169" s="4">
        <v>4.8790164169432049E-2</v>
      </c>
      <c r="N169" s="4">
        <v>1.398624197473987E-2</v>
      </c>
    </row>
    <row r="170" spans="1:14">
      <c r="A170" s="8">
        <v>40039</v>
      </c>
      <c r="B170" s="4">
        <v>21.8</v>
      </c>
      <c r="C170" s="4">
        <v>10.5</v>
      </c>
      <c r="D170" s="4">
        <v>1.79</v>
      </c>
      <c r="E170" s="4">
        <v>5.95</v>
      </c>
      <c r="F170" s="4">
        <v>7.65</v>
      </c>
      <c r="G170" s="4">
        <v>14.4</v>
      </c>
      <c r="I170" s="4">
        <v>-9.1324835632724741E-3</v>
      </c>
      <c r="J170" s="4">
        <v>3.8839833316263957E-2</v>
      </c>
      <c r="K170" s="4">
        <v>-1.1111225425070722E-2</v>
      </c>
      <c r="L170" s="4">
        <v>8.4388686458646035E-3</v>
      </c>
      <c r="M170" s="4">
        <v>4.0005334613699206E-2</v>
      </c>
      <c r="N170" s="4">
        <v>0</v>
      </c>
    </row>
    <row r="171" spans="1:14">
      <c r="A171" s="8">
        <v>40042</v>
      </c>
      <c r="B171" s="4">
        <v>21</v>
      </c>
      <c r="C171" s="4">
        <v>9.9</v>
      </c>
      <c r="D171" s="4">
        <v>1.72</v>
      </c>
      <c r="E171" s="4">
        <v>5.7</v>
      </c>
      <c r="F171" s="4">
        <v>7.2</v>
      </c>
      <c r="G171" s="4">
        <v>14</v>
      </c>
      <c r="I171" s="4">
        <v>-3.7387532071620329E-2</v>
      </c>
      <c r="J171" s="4">
        <v>-5.8840500022933465E-2</v>
      </c>
      <c r="K171" s="4">
        <v>-3.9891329027301969E-2</v>
      </c>
      <c r="L171" s="4">
        <v>-4.2925044717033886E-2</v>
      </c>
      <c r="M171" s="4">
        <v>-6.0624621816434854E-2</v>
      </c>
      <c r="N171" s="4">
        <v>-2.8170876966696335E-2</v>
      </c>
    </row>
    <row r="172" spans="1:14">
      <c r="A172" s="8">
        <v>40043</v>
      </c>
      <c r="B172" s="4">
        <v>21.3</v>
      </c>
      <c r="C172" s="4">
        <v>9.9</v>
      </c>
      <c r="D172" s="4">
        <v>1.75</v>
      </c>
      <c r="E172" s="4">
        <v>5.9</v>
      </c>
      <c r="F172" s="4">
        <v>7.45</v>
      </c>
      <c r="G172" s="4">
        <v>14.2</v>
      </c>
      <c r="I172" s="4">
        <v>1.4184634991956381E-2</v>
      </c>
      <c r="J172" s="4">
        <v>0</v>
      </c>
      <c r="K172" s="4">
        <v>1.7291497110061043E-2</v>
      </c>
      <c r="L172" s="4">
        <v>3.4486176071169404E-2</v>
      </c>
      <c r="M172" s="4">
        <v>3.4133006369458617E-2</v>
      </c>
      <c r="N172" s="4">
        <v>1.4184634991956381E-2</v>
      </c>
    </row>
    <row r="173" spans="1:14">
      <c r="A173" s="8">
        <v>40044</v>
      </c>
      <c r="B173" s="4">
        <v>20.6</v>
      </c>
      <c r="C173" s="4">
        <v>9.6</v>
      </c>
      <c r="D173" s="4">
        <v>1.81</v>
      </c>
      <c r="E173" s="4">
        <v>5.8</v>
      </c>
      <c r="F173" s="4">
        <v>7.15</v>
      </c>
      <c r="G173" s="4">
        <v>14.1</v>
      </c>
      <c r="I173" s="4">
        <v>-3.3415996919843947E-2</v>
      </c>
      <c r="J173" s="4">
        <v>-3.0771658666753774E-2</v>
      </c>
      <c r="K173" s="4">
        <v>3.3711057342311661E-2</v>
      </c>
      <c r="L173" s="4">
        <v>-1.7094433359300183E-2</v>
      </c>
      <c r="M173" s="4">
        <v>-4.11016756855518E-2</v>
      </c>
      <c r="N173" s="4">
        <v>-7.067167223092443E-3</v>
      </c>
    </row>
    <row r="174" spans="1:14">
      <c r="A174" s="8">
        <v>40045</v>
      </c>
      <c r="B174" s="4">
        <v>20.7</v>
      </c>
      <c r="C174" s="4">
        <v>9.85</v>
      </c>
      <c r="D174" s="4">
        <v>1.86</v>
      </c>
      <c r="E174" s="4">
        <v>5.7</v>
      </c>
      <c r="F174" s="4">
        <v>7.4</v>
      </c>
      <c r="G174" s="4">
        <v>14.1</v>
      </c>
      <c r="I174" s="4">
        <v>4.8426244757879908E-3</v>
      </c>
      <c r="J174" s="4">
        <v>2.570835671020703E-2</v>
      </c>
      <c r="K174" s="4">
        <v>2.724964244737554E-2</v>
      </c>
      <c r="L174" s="4">
        <v>-1.7391742711869107E-2</v>
      </c>
      <c r="M174" s="4">
        <v>3.4367643504207818E-2</v>
      </c>
      <c r="N174" s="4">
        <v>0</v>
      </c>
    </row>
    <row r="175" spans="1:14">
      <c r="A175" s="8">
        <v>40046</v>
      </c>
      <c r="B175" s="4">
        <v>21</v>
      </c>
      <c r="C175" s="4">
        <v>10.1</v>
      </c>
      <c r="D175" s="4">
        <v>1.99</v>
      </c>
      <c r="E175" s="4">
        <v>5.6</v>
      </c>
      <c r="F175" s="4">
        <v>7.35</v>
      </c>
      <c r="G175" s="4">
        <v>14.1</v>
      </c>
      <c r="I175" s="4">
        <v>1.4388737452099671E-2</v>
      </c>
      <c r="J175" s="4">
        <v>2.506396866321622E-2</v>
      </c>
      <c r="K175" s="4">
        <v>6.755815101129109E-2</v>
      </c>
      <c r="L175" s="4">
        <v>-1.7699577099400975E-2</v>
      </c>
      <c r="M175" s="4">
        <v>-6.7796869853788038E-3</v>
      </c>
      <c r="N175" s="4">
        <v>0</v>
      </c>
    </row>
    <row r="176" spans="1:14">
      <c r="A176" s="8">
        <v>40049</v>
      </c>
      <c r="B176" s="4">
        <v>20.9</v>
      </c>
      <c r="C176" s="4">
        <v>10.7</v>
      </c>
      <c r="D176" s="4">
        <v>1.97</v>
      </c>
      <c r="E176" s="4">
        <v>5.65</v>
      </c>
      <c r="F176" s="4">
        <v>7.5</v>
      </c>
      <c r="G176" s="4">
        <v>14.2</v>
      </c>
      <c r="I176" s="4">
        <v>-4.7732787526577709E-3</v>
      </c>
      <c r="J176" s="4">
        <v>5.7708317620646772E-2</v>
      </c>
      <c r="K176" s="4">
        <v>-1.0101095986503933E-2</v>
      </c>
      <c r="L176" s="4">
        <v>8.8889474172462145E-3</v>
      </c>
      <c r="M176" s="4">
        <v>2.0202707317519469E-2</v>
      </c>
      <c r="N176" s="4">
        <v>7.0671672230923528E-3</v>
      </c>
    </row>
    <row r="177" spans="1:14">
      <c r="A177" s="8">
        <v>40050</v>
      </c>
      <c r="B177" s="4">
        <v>21.2</v>
      </c>
      <c r="C177" s="4">
        <v>10.4</v>
      </c>
      <c r="D177" s="4">
        <v>2.08</v>
      </c>
      <c r="E177" s="4">
        <v>5.8</v>
      </c>
      <c r="F177" s="4">
        <v>7.8</v>
      </c>
      <c r="G177" s="4">
        <v>14.2</v>
      </c>
      <c r="I177" s="4">
        <v>1.4252022707201413E-2</v>
      </c>
      <c r="J177" s="4">
        <v>-2.8437935320533399E-2</v>
      </c>
      <c r="K177" s="4">
        <v>5.4334350963329517E-2</v>
      </c>
      <c r="L177" s="4">
        <v>2.6202372394023902E-2</v>
      </c>
      <c r="M177" s="4">
        <v>3.9220713153281329E-2</v>
      </c>
      <c r="N177" s="4">
        <v>0</v>
      </c>
    </row>
    <row r="178" spans="1:14">
      <c r="A178" s="8">
        <v>40051</v>
      </c>
      <c r="B178" s="4">
        <v>21</v>
      </c>
      <c r="C178" s="4">
        <v>10.6</v>
      </c>
      <c r="D178" s="4">
        <v>2.2200000000000002</v>
      </c>
      <c r="E178" s="4">
        <v>5.85</v>
      </c>
      <c r="F178" s="4">
        <v>7.9</v>
      </c>
      <c r="G178" s="4">
        <v>14.2</v>
      </c>
      <c r="I178" s="4">
        <v>-9.47874395454377E-3</v>
      </c>
      <c r="J178" s="4">
        <v>1.9048194970694411E-2</v>
      </c>
      <c r="K178" s="4">
        <v>6.5139302170961449E-2</v>
      </c>
      <c r="L178" s="4">
        <v>8.583743691391435E-3</v>
      </c>
      <c r="M178" s="4">
        <v>1.2739025777429932E-2</v>
      </c>
      <c r="N178" s="4">
        <v>0</v>
      </c>
    </row>
    <row r="179" spans="1:14">
      <c r="A179" s="8">
        <v>40052</v>
      </c>
      <c r="B179" s="4">
        <v>21.5</v>
      </c>
      <c r="C179" s="4">
        <v>10.199999999999999</v>
      </c>
      <c r="D179" s="4">
        <v>2.1</v>
      </c>
      <c r="E179" s="4">
        <v>5.85</v>
      </c>
      <c r="F179" s="4">
        <v>7.8</v>
      </c>
      <c r="G179" s="4">
        <v>14.6</v>
      </c>
      <c r="I179" s="4">
        <v>2.3530497410194036E-2</v>
      </c>
      <c r="J179" s="4">
        <v>-3.8466280827796052E-2</v>
      </c>
      <c r="K179" s="4">
        <v>-5.5569851154810765E-2</v>
      </c>
      <c r="L179" s="4">
        <v>0</v>
      </c>
      <c r="M179" s="4">
        <v>-1.2739025777429826E-2</v>
      </c>
      <c r="N179" s="4">
        <v>2.7779564107075671E-2</v>
      </c>
    </row>
    <row r="180" spans="1:14">
      <c r="A180" s="8">
        <v>40053</v>
      </c>
      <c r="B180" s="4">
        <v>21.6</v>
      </c>
      <c r="C180" s="4">
        <v>9.9</v>
      </c>
      <c r="D180" s="4">
        <v>2.16</v>
      </c>
      <c r="E180" s="4">
        <v>5.85</v>
      </c>
      <c r="F180" s="4">
        <v>7.8</v>
      </c>
      <c r="G180" s="4">
        <v>14.3</v>
      </c>
      <c r="I180" s="4">
        <v>4.6403795565023009E-3</v>
      </c>
      <c r="J180" s="4">
        <v>-2.9852963149681045E-2</v>
      </c>
      <c r="K180" s="4">
        <v>2.8170876966696439E-2</v>
      </c>
      <c r="L180" s="4">
        <v>0</v>
      </c>
      <c r="M180" s="4">
        <v>0</v>
      </c>
      <c r="N180" s="4">
        <v>-2.0761991448429128E-2</v>
      </c>
    </row>
    <row r="181" spans="1:14">
      <c r="A181" s="8">
        <v>40056</v>
      </c>
      <c r="B181" s="4">
        <v>21.6</v>
      </c>
      <c r="C181" s="4">
        <v>9.9</v>
      </c>
      <c r="D181" s="4">
        <v>2.2999999999999998</v>
      </c>
      <c r="E181" s="4">
        <v>6</v>
      </c>
      <c r="F181" s="4">
        <v>7.75</v>
      </c>
      <c r="G181" s="4">
        <v>14.7</v>
      </c>
      <c r="I181" s="4">
        <v>0</v>
      </c>
      <c r="J181" s="4">
        <v>0</v>
      </c>
      <c r="K181" s="4">
        <v>6.2800901239030232E-2</v>
      </c>
      <c r="L181" s="4">
        <v>2.5317807984290001E-2</v>
      </c>
      <c r="M181" s="4">
        <v>-6.4308903302904025E-3</v>
      </c>
      <c r="N181" s="4">
        <v>2.7587956518828963E-2</v>
      </c>
    </row>
    <row r="182" spans="1:14">
      <c r="A182" s="8">
        <v>40057</v>
      </c>
      <c r="B182" s="4">
        <v>21.8</v>
      </c>
      <c r="C182" s="4">
        <v>9.9499999999999993</v>
      </c>
      <c r="D182" s="4">
        <v>2.2799999999999998</v>
      </c>
      <c r="E182" s="4">
        <v>6.1</v>
      </c>
      <c r="F182" s="4">
        <v>7.75</v>
      </c>
      <c r="G182" s="4">
        <v>14.4</v>
      </c>
      <c r="I182" s="4">
        <v>9.2166551049240476E-3</v>
      </c>
      <c r="J182" s="4">
        <v>5.037794029957081E-3</v>
      </c>
      <c r="K182" s="4">
        <v>-8.7336799687546662E-3</v>
      </c>
      <c r="L182" s="4">
        <v>1.6529301951210506E-2</v>
      </c>
      <c r="M182" s="4">
        <v>0</v>
      </c>
      <c r="N182" s="4">
        <v>-2.0619287202735592E-2</v>
      </c>
    </row>
    <row r="183" spans="1:14">
      <c r="A183" s="8">
        <v>40058</v>
      </c>
      <c r="B183" s="4">
        <v>23.1</v>
      </c>
      <c r="C183" s="4">
        <v>10.199999999999999</v>
      </c>
      <c r="D183" s="4">
        <v>2.34</v>
      </c>
      <c r="E183" s="4">
        <v>6.3</v>
      </c>
      <c r="F183" s="4">
        <v>7.8</v>
      </c>
      <c r="G183" s="4">
        <v>14.8</v>
      </c>
      <c r="I183" s="4">
        <v>5.7922647732704509E-2</v>
      </c>
      <c r="J183" s="4">
        <v>2.4815169119723993E-2</v>
      </c>
      <c r="K183" s="4">
        <v>2.5975486403260736E-2</v>
      </c>
      <c r="L183" s="4">
        <v>3.2260862218221477E-2</v>
      </c>
      <c r="M183" s="4">
        <v>6.4308903302903314E-3</v>
      </c>
      <c r="N183" s="4">
        <v>2.7398974188114562E-2</v>
      </c>
    </row>
    <row r="184" spans="1:14">
      <c r="A184" s="8">
        <v>40059</v>
      </c>
      <c r="B184" s="4">
        <v>23.5</v>
      </c>
      <c r="C184" s="4">
        <v>10.6</v>
      </c>
      <c r="D184" s="4">
        <v>2.2999999999999998</v>
      </c>
      <c r="E184" s="4">
        <v>6.6</v>
      </c>
      <c r="F184" s="4">
        <v>8</v>
      </c>
      <c r="G184" s="4">
        <v>15.8</v>
      </c>
      <c r="I184" s="4">
        <v>1.716780362236528E-2</v>
      </c>
      <c r="J184" s="4">
        <v>3.8466280827796143E-2</v>
      </c>
      <c r="K184" s="4">
        <v>-1.7241806434506103E-2</v>
      </c>
      <c r="L184" s="4">
        <v>4.6520015634892907E-2</v>
      </c>
      <c r="M184" s="4">
        <v>2.5317807984290001E-2</v>
      </c>
      <c r="N184" s="4">
        <v>6.5382759262851711E-2</v>
      </c>
    </row>
    <row r="185" spans="1:14">
      <c r="A185" s="8">
        <v>40060</v>
      </c>
      <c r="B185" s="4">
        <v>21.3</v>
      </c>
      <c r="C185" s="4">
        <v>10.4</v>
      </c>
      <c r="D185" s="4">
        <v>2.2200000000000002</v>
      </c>
      <c r="E185" s="4">
        <v>6.5</v>
      </c>
      <c r="F185" s="4">
        <v>8.1</v>
      </c>
      <c r="G185" s="4">
        <v>15.9</v>
      </c>
      <c r="I185" s="4">
        <v>-9.8293348434733877E-2</v>
      </c>
      <c r="J185" s="4">
        <v>-1.9048194970694363E-2</v>
      </c>
      <c r="K185" s="4">
        <v>-3.5401927050915723E-2</v>
      </c>
      <c r="L185" s="4">
        <v>-1.5267472130788421E-2</v>
      </c>
      <c r="M185" s="4">
        <v>1.242251999855711E-2</v>
      </c>
      <c r="N185" s="4">
        <v>6.3091691932647556E-3</v>
      </c>
    </row>
    <row r="186" spans="1:14">
      <c r="A186" s="8">
        <v>40063</v>
      </c>
      <c r="B186" s="4">
        <v>22.5</v>
      </c>
      <c r="C186" s="4">
        <v>10.8</v>
      </c>
      <c r="D186" s="4">
        <v>2.2999999999999998</v>
      </c>
      <c r="E186" s="4">
        <v>6.7</v>
      </c>
      <c r="F186" s="4">
        <v>8.1999999999999993</v>
      </c>
      <c r="G186" s="4">
        <v>16.3</v>
      </c>
      <c r="I186" s="4">
        <v>5.4808236494994951E-2</v>
      </c>
      <c r="J186" s="4">
        <v>3.7740327982847113E-2</v>
      </c>
      <c r="K186" s="4">
        <v>3.5401927050915792E-2</v>
      </c>
      <c r="L186" s="4">
        <v>3.0305349495329058E-2</v>
      </c>
      <c r="M186" s="4">
        <v>1.2270092591814401E-2</v>
      </c>
      <c r="N186" s="4">
        <v>2.4845998586530804E-2</v>
      </c>
    </row>
    <row r="187" spans="1:14">
      <c r="A187" s="8">
        <v>40064</v>
      </c>
      <c r="B187" s="4">
        <v>22.2</v>
      </c>
      <c r="C187" s="4">
        <v>10.6</v>
      </c>
      <c r="D187" s="4">
        <v>2.2799999999999998</v>
      </c>
      <c r="E187" s="4">
        <v>6.65</v>
      </c>
      <c r="F187" s="4">
        <v>8.6999999999999993</v>
      </c>
      <c r="G187" s="4">
        <v>16.3</v>
      </c>
      <c r="I187" s="4">
        <v>-1.3423020332140774E-2</v>
      </c>
      <c r="J187" s="4">
        <v>-1.8692133012152633E-2</v>
      </c>
      <c r="K187" s="4">
        <v>-8.7336799687546662E-3</v>
      </c>
      <c r="L187" s="4">
        <v>-7.4906717291576257E-3</v>
      </c>
      <c r="M187" s="4">
        <v>5.9188871390330654E-2</v>
      </c>
      <c r="N187" s="4">
        <v>0</v>
      </c>
    </row>
    <row r="188" spans="1:14">
      <c r="A188" s="8">
        <v>40065</v>
      </c>
      <c r="B188" s="4">
        <v>22.1</v>
      </c>
      <c r="C188" s="4">
        <v>10.6</v>
      </c>
      <c r="D188" s="4">
        <v>2.2599999999999998</v>
      </c>
      <c r="E188" s="4">
        <v>6.5</v>
      </c>
      <c r="F188" s="4">
        <v>9</v>
      </c>
      <c r="G188" s="4">
        <v>16.2</v>
      </c>
      <c r="I188" s="4">
        <v>-4.5146803545265827E-3</v>
      </c>
      <c r="J188" s="4">
        <v>0</v>
      </c>
      <c r="K188" s="4">
        <v>-8.8106296821549197E-3</v>
      </c>
      <c r="L188" s="4">
        <v>-2.2814677766171399E-2</v>
      </c>
      <c r="M188" s="4">
        <v>3.3901551675681416E-2</v>
      </c>
      <c r="N188" s="4">
        <v>-6.1538655743783354E-3</v>
      </c>
    </row>
    <row r="189" spans="1:14">
      <c r="A189" s="8">
        <v>40066</v>
      </c>
      <c r="B189" s="4">
        <v>22.1</v>
      </c>
      <c r="C189" s="4">
        <v>10.9</v>
      </c>
      <c r="D189" s="4">
        <v>2.2599999999999998</v>
      </c>
      <c r="E189" s="4">
        <v>6.5</v>
      </c>
      <c r="F189" s="4">
        <v>8.9</v>
      </c>
      <c r="G189" s="4">
        <v>16.2</v>
      </c>
      <c r="I189" s="4">
        <v>0</v>
      </c>
      <c r="J189" s="4">
        <v>2.7908788117076658E-2</v>
      </c>
      <c r="K189" s="4">
        <v>0</v>
      </c>
      <c r="L189" s="4">
        <v>0</v>
      </c>
      <c r="M189" s="4">
        <v>-1.1173300598125189E-2</v>
      </c>
      <c r="N189" s="4">
        <v>0</v>
      </c>
    </row>
    <row r="190" spans="1:14">
      <c r="A190" s="8">
        <v>40067</v>
      </c>
      <c r="B190" s="4">
        <v>22.1</v>
      </c>
      <c r="C190" s="4">
        <v>10.9</v>
      </c>
      <c r="D190" s="4">
        <v>2.2999999999999998</v>
      </c>
      <c r="E190" s="4">
        <v>6.75</v>
      </c>
      <c r="F190" s="4">
        <v>9.1</v>
      </c>
      <c r="G190" s="4">
        <v>16.399999999999999</v>
      </c>
      <c r="I190" s="4">
        <v>0</v>
      </c>
      <c r="J190" s="4">
        <v>0</v>
      </c>
      <c r="K190" s="4">
        <v>1.7544309650909525E-2</v>
      </c>
      <c r="L190" s="4">
        <v>3.7740327982847113E-2</v>
      </c>
      <c r="M190" s="4">
        <v>2.2223136784710041E-2</v>
      </c>
      <c r="N190" s="4">
        <v>1.2270092591814401E-2</v>
      </c>
    </row>
    <row r="191" spans="1:14">
      <c r="A191" s="8">
        <v>40070</v>
      </c>
      <c r="B191" s="4">
        <v>22</v>
      </c>
      <c r="C191" s="4">
        <v>10.4</v>
      </c>
      <c r="D191" s="4">
        <v>2.36</v>
      </c>
      <c r="E191" s="4">
        <v>6.85</v>
      </c>
      <c r="F191" s="4">
        <v>8.9</v>
      </c>
      <c r="G191" s="4">
        <v>16.2</v>
      </c>
      <c r="I191" s="4">
        <v>-4.5351551653913741E-3</v>
      </c>
      <c r="J191" s="4">
        <v>-4.6956983087770979E-2</v>
      </c>
      <c r="K191" s="4">
        <v>2.5752496102414764E-2</v>
      </c>
      <c r="L191" s="4">
        <v>1.4706147389695487E-2</v>
      </c>
      <c r="M191" s="4">
        <v>-2.2223136784710124E-2</v>
      </c>
      <c r="N191" s="4">
        <v>-1.2270092591814359E-2</v>
      </c>
    </row>
    <row r="192" spans="1:14">
      <c r="A192" s="8">
        <v>40071</v>
      </c>
      <c r="B192" s="4">
        <v>21.8</v>
      </c>
      <c r="C192" s="4">
        <v>10.9</v>
      </c>
      <c r="D192" s="4">
        <v>2.8</v>
      </c>
      <c r="E192" s="4">
        <v>6.9</v>
      </c>
      <c r="F192" s="4">
        <v>9.1</v>
      </c>
      <c r="G192" s="4">
        <v>16.100000000000001</v>
      </c>
      <c r="I192" s="4">
        <v>-9.1324835632724741E-3</v>
      </c>
      <c r="J192" s="4">
        <v>4.6956983087771083E-2</v>
      </c>
      <c r="K192" s="4">
        <v>0.17095779814363948</v>
      </c>
      <c r="L192" s="4">
        <v>7.2727593290798781E-3</v>
      </c>
      <c r="M192" s="4">
        <v>2.2223136784710041E-2</v>
      </c>
      <c r="N192" s="4">
        <v>-6.1919702479209951E-3</v>
      </c>
    </row>
    <row r="193" spans="1:14">
      <c r="A193" s="8">
        <v>40072</v>
      </c>
      <c r="B193" s="4">
        <v>22.1</v>
      </c>
      <c r="C193" s="4">
        <v>11</v>
      </c>
      <c r="D193" s="4">
        <v>2.84</v>
      </c>
      <c r="E193" s="4">
        <v>7.05</v>
      </c>
      <c r="F193" s="4">
        <v>9.8000000000000007</v>
      </c>
      <c r="G193" s="4">
        <v>16.3</v>
      </c>
      <c r="I193" s="4">
        <v>1.3667638728663835E-2</v>
      </c>
      <c r="J193" s="4">
        <v>9.1324835632724723E-3</v>
      </c>
      <c r="K193" s="4">
        <v>1.4184634991956381E-2</v>
      </c>
      <c r="L193" s="4">
        <v>2.1506205220963463E-2</v>
      </c>
      <c r="M193" s="4">
        <v>7.4107972153722043E-2</v>
      </c>
      <c r="N193" s="4">
        <v>1.2345835822299362E-2</v>
      </c>
    </row>
    <row r="194" spans="1:14">
      <c r="A194" s="8">
        <v>40073</v>
      </c>
      <c r="B194" s="4">
        <v>21.9</v>
      </c>
      <c r="C194" s="4">
        <v>11.6</v>
      </c>
      <c r="D194" s="4">
        <v>2.78</v>
      </c>
      <c r="E194" s="4">
        <v>6.95</v>
      </c>
      <c r="F194" s="4">
        <v>9.6999999999999993</v>
      </c>
      <c r="G194" s="4">
        <v>16.100000000000001</v>
      </c>
      <c r="I194" s="4">
        <v>-9.0909717012520753E-3</v>
      </c>
      <c r="J194" s="4">
        <v>5.3109825313948332E-2</v>
      </c>
      <c r="K194" s="4">
        <v>-2.1353124470568946E-2</v>
      </c>
      <c r="L194" s="4">
        <v>-1.4285957247476428E-2</v>
      </c>
      <c r="M194" s="4">
        <v>-1.0256500167189221E-2</v>
      </c>
      <c r="N194" s="4">
        <v>-1.2345835822299266E-2</v>
      </c>
    </row>
    <row r="195" spans="1:14">
      <c r="A195" s="8">
        <v>40074</v>
      </c>
      <c r="B195" s="4">
        <v>22.4</v>
      </c>
      <c r="C195" s="4">
        <v>11.6</v>
      </c>
      <c r="D195" s="4">
        <v>2.8</v>
      </c>
      <c r="E195" s="4">
        <v>7</v>
      </c>
      <c r="F195" s="4">
        <v>10.5</v>
      </c>
      <c r="G195" s="4">
        <v>16.2</v>
      </c>
      <c r="I195" s="4">
        <v>2.2574322038538975E-2</v>
      </c>
      <c r="J195" s="4">
        <v>0</v>
      </c>
      <c r="K195" s="4">
        <v>7.168489478612497E-3</v>
      </c>
      <c r="L195" s="4">
        <v>7.168489478612497E-3</v>
      </c>
      <c r="M195" s="4">
        <v>7.9249371654140685E-2</v>
      </c>
      <c r="N195" s="4">
        <v>6.1919702479209804E-3</v>
      </c>
    </row>
    <row r="196" spans="1:14">
      <c r="A196" s="8">
        <v>40077</v>
      </c>
      <c r="B196" s="4">
        <v>22.2</v>
      </c>
      <c r="C196" s="4">
        <v>12.1</v>
      </c>
      <c r="D196" s="4">
        <v>2.9</v>
      </c>
      <c r="E196" s="4">
        <v>7.05</v>
      </c>
      <c r="F196" s="4">
        <v>11.4</v>
      </c>
      <c r="G196" s="4">
        <v>16.2</v>
      </c>
      <c r="I196" s="4">
        <v>-8.9686699827603751E-3</v>
      </c>
      <c r="J196" s="4">
        <v>4.2200354490376471E-2</v>
      </c>
      <c r="K196" s="4">
        <v>3.5091319811270193E-2</v>
      </c>
      <c r="L196" s="4">
        <v>7.1174677688639549E-3</v>
      </c>
      <c r="M196" s="4">
        <v>8.2238098236972215E-2</v>
      </c>
      <c r="N196" s="4">
        <v>0</v>
      </c>
    </row>
    <row r="197" spans="1:14">
      <c r="A197" s="8">
        <v>40078</v>
      </c>
      <c r="B197" s="4">
        <v>22.2</v>
      </c>
      <c r="C197" s="4">
        <v>12.4</v>
      </c>
      <c r="D197" s="4">
        <v>2.94</v>
      </c>
      <c r="E197" s="4">
        <v>7.2</v>
      </c>
      <c r="F197" s="4">
        <v>11.4</v>
      </c>
      <c r="G197" s="4">
        <v>16.399999999999999</v>
      </c>
      <c r="I197" s="4">
        <v>0</v>
      </c>
      <c r="J197" s="4">
        <v>2.4491020008295911E-2</v>
      </c>
      <c r="K197" s="4">
        <v>1.3698844358161927E-2</v>
      </c>
      <c r="L197" s="4">
        <v>2.1053409197832482E-2</v>
      </c>
      <c r="M197" s="4">
        <v>0</v>
      </c>
      <c r="N197" s="4">
        <v>1.2270092591814401E-2</v>
      </c>
    </row>
    <row r="198" spans="1:14">
      <c r="A198" s="8">
        <v>40079</v>
      </c>
      <c r="B198" s="4">
        <v>22</v>
      </c>
      <c r="C198" s="4">
        <v>12.5</v>
      </c>
      <c r="D198" s="4">
        <v>3.06</v>
      </c>
      <c r="E198" s="4">
        <v>7.3</v>
      </c>
      <c r="F198" s="4">
        <v>11.2</v>
      </c>
      <c r="G198" s="4">
        <v>17</v>
      </c>
      <c r="I198" s="4">
        <v>-9.0498355199179273E-3</v>
      </c>
      <c r="J198" s="4">
        <v>8.0321716972642527E-3</v>
      </c>
      <c r="K198" s="4">
        <v>4.0005334613699206E-2</v>
      </c>
      <c r="L198" s="4">
        <v>1.3793322132335769E-2</v>
      </c>
      <c r="M198" s="4">
        <v>-1.7699577099400975E-2</v>
      </c>
      <c r="N198" s="4">
        <v>3.593200922606337E-2</v>
      </c>
    </row>
    <row r="199" spans="1:14">
      <c r="A199" s="8">
        <v>40080</v>
      </c>
      <c r="B199" s="4">
        <v>22.1</v>
      </c>
      <c r="C199" s="4">
        <v>12.6</v>
      </c>
      <c r="D199" s="4">
        <v>3.14</v>
      </c>
      <c r="E199" s="4">
        <v>7.2</v>
      </c>
      <c r="F199" s="4">
        <v>11.3</v>
      </c>
      <c r="G199" s="4">
        <v>17</v>
      </c>
      <c r="I199" s="4">
        <v>4.5351551653913628E-3</v>
      </c>
      <c r="J199" s="4">
        <v>7.9681696491768813E-3</v>
      </c>
      <c r="K199" s="4">
        <v>2.5807883955872721E-2</v>
      </c>
      <c r="L199" s="4">
        <v>-1.3793322132335761E-2</v>
      </c>
      <c r="M199" s="4">
        <v>8.8889474172462145E-3</v>
      </c>
      <c r="N199" s="4">
        <v>0</v>
      </c>
    </row>
    <row r="200" spans="1:14">
      <c r="A200" s="8">
        <v>40081</v>
      </c>
      <c r="B200" s="4">
        <v>22</v>
      </c>
      <c r="C200" s="4">
        <v>12.3</v>
      </c>
      <c r="D200" s="4">
        <v>3.14</v>
      </c>
      <c r="E200" s="4">
        <v>7.5</v>
      </c>
      <c r="F200" s="4">
        <v>11.1</v>
      </c>
      <c r="G200" s="4">
        <v>17.100000000000001</v>
      </c>
      <c r="I200" s="4">
        <v>-4.5351551653913741E-3</v>
      </c>
      <c r="J200" s="4">
        <v>-2.4097551579060416E-2</v>
      </c>
      <c r="K200" s="4">
        <v>0</v>
      </c>
      <c r="L200" s="4">
        <v>4.08219945202552E-2</v>
      </c>
      <c r="M200" s="4">
        <v>-1.7857617400006572E-2</v>
      </c>
      <c r="N200" s="4">
        <v>5.8651194523980576E-3</v>
      </c>
    </row>
    <row r="201" spans="1:14">
      <c r="A201" s="8">
        <v>40084</v>
      </c>
      <c r="B201" s="4">
        <v>21.9</v>
      </c>
      <c r="C201" s="4">
        <v>11.5</v>
      </c>
      <c r="D201" s="4">
        <v>3.12</v>
      </c>
      <c r="E201" s="4">
        <v>7.6</v>
      </c>
      <c r="F201" s="4">
        <v>10.3</v>
      </c>
      <c r="G201" s="4">
        <v>17.100000000000001</v>
      </c>
      <c r="I201" s="4">
        <v>-4.5558165358608018E-3</v>
      </c>
      <c r="J201" s="4">
        <v>-6.7252227009167456E-2</v>
      </c>
      <c r="K201" s="4">
        <v>-6.38979809877101E-3</v>
      </c>
      <c r="L201" s="4">
        <v>1.3245226750020505E-2</v>
      </c>
      <c r="M201" s="4">
        <v>-7.4801213082698284E-2</v>
      </c>
      <c r="N201" s="4">
        <v>0</v>
      </c>
    </row>
    <row r="202" spans="1:14">
      <c r="A202" s="8">
        <v>40085</v>
      </c>
      <c r="B202" s="4">
        <v>22</v>
      </c>
      <c r="C202" s="4">
        <v>11.6</v>
      </c>
      <c r="D202" s="4">
        <v>3.12</v>
      </c>
      <c r="E202" s="4">
        <v>7.85</v>
      </c>
      <c r="F202" s="4">
        <v>10.3</v>
      </c>
      <c r="G202" s="4">
        <v>17.2</v>
      </c>
      <c r="I202" s="4">
        <v>4.5558165358608824E-3</v>
      </c>
      <c r="J202" s="4">
        <v>8.6580627431145311E-3</v>
      </c>
      <c r="K202" s="4">
        <v>0</v>
      </c>
      <c r="L202" s="4">
        <v>3.2365284502031716E-2</v>
      </c>
      <c r="M202" s="4">
        <v>0</v>
      </c>
      <c r="N202" s="4">
        <v>5.8309203107931437E-3</v>
      </c>
    </row>
    <row r="203" spans="1:14">
      <c r="A203" s="8">
        <v>40086</v>
      </c>
      <c r="B203" s="4">
        <v>22.9</v>
      </c>
      <c r="C203" s="4">
        <v>11.7</v>
      </c>
      <c r="D203" s="4">
        <v>3.14</v>
      </c>
      <c r="E203" s="4">
        <v>7.95</v>
      </c>
      <c r="F203" s="4">
        <v>10.6</v>
      </c>
      <c r="G203" s="4">
        <v>17.399999999999999</v>
      </c>
      <c r="I203" s="4">
        <v>4.0094457201877994E-2</v>
      </c>
      <c r="J203" s="4">
        <v>8.583743691391435E-3</v>
      </c>
      <c r="K203" s="4">
        <v>6.3897980987709883E-3</v>
      </c>
      <c r="L203" s="4">
        <v>1.2658396871923465E-2</v>
      </c>
      <c r="M203" s="4">
        <v>2.871010588243136E-2</v>
      </c>
      <c r="N203" s="4">
        <v>1.1560822401076006E-2</v>
      </c>
    </row>
    <row r="204" spans="1:14">
      <c r="A204" s="8">
        <v>40087</v>
      </c>
      <c r="B204" s="4">
        <v>24.6</v>
      </c>
      <c r="C204" s="4">
        <v>11.9</v>
      </c>
      <c r="D204" s="4">
        <v>3.28</v>
      </c>
      <c r="E204" s="4">
        <v>8.5</v>
      </c>
      <c r="F204" s="4">
        <v>10.6</v>
      </c>
      <c r="G204" s="4">
        <v>18.100000000000001</v>
      </c>
      <c r="I204" s="4">
        <v>7.1609532378123217E-2</v>
      </c>
      <c r="J204" s="4">
        <v>1.6949558313773424E-2</v>
      </c>
      <c r="K204" s="4">
        <v>4.3620622475890353E-2</v>
      </c>
      <c r="L204" s="4">
        <v>6.6894234830030222E-2</v>
      </c>
      <c r="M204" s="4">
        <v>0</v>
      </c>
      <c r="N204" s="4">
        <v>3.9441732051296835E-2</v>
      </c>
    </row>
    <row r="205" spans="1:14">
      <c r="A205" s="8">
        <v>40088</v>
      </c>
      <c r="B205" s="4">
        <v>24.5</v>
      </c>
      <c r="C205" s="4">
        <v>11.7</v>
      </c>
      <c r="D205" s="4">
        <v>3.28</v>
      </c>
      <c r="E205" s="4">
        <v>8.6999999999999993</v>
      </c>
      <c r="F205" s="4">
        <v>10.5</v>
      </c>
      <c r="G205" s="4">
        <v>17.899999999999999</v>
      </c>
      <c r="I205" s="4">
        <v>-4.0733253876358982E-3</v>
      </c>
      <c r="J205" s="4">
        <v>-1.694955831377332E-2</v>
      </c>
      <c r="K205" s="4">
        <v>0</v>
      </c>
      <c r="L205" s="4">
        <v>2.3256862164267183E-2</v>
      </c>
      <c r="M205" s="4">
        <v>-9.47874395454377E-3</v>
      </c>
      <c r="N205" s="4">
        <v>-1.1111225425070946E-2</v>
      </c>
    </row>
    <row r="206" spans="1:14">
      <c r="A206" s="8">
        <v>40091</v>
      </c>
      <c r="B206" s="4">
        <v>25</v>
      </c>
      <c r="C206" s="4">
        <v>12.1</v>
      </c>
      <c r="D206" s="4">
        <v>3.34</v>
      </c>
      <c r="E206" s="4">
        <v>8.65</v>
      </c>
      <c r="F206" s="4">
        <v>10.7</v>
      </c>
      <c r="G206" s="4">
        <v>18.2</v>
      </c>
      <c r="I206" s="4">
        <v>2.0202707317519469E-2</v>
      </c>
      <c r="J206" s="4">
        <v>3.3616610798985064E-2</v>
      </c>
      <c r="K206" s="4">
        <v>1.8127384592556701E-2</v>
      </c>
      <c r="L206" s="4">
        <v>-5.7637047167499065E-3</v>
      </c>
      <c r="M206" s="4">
        <v>1.8868484304382736E-2</v>
      </c>
      <c r="N206" s="4">
        <v>1.66208812360405E-2</v>
      </c>
    </row>
    <row r="207" spans="1:14">
      <c r="A207" s="8">
        <v>40092</v>
      </c>
      <c r="B207" s="4">
        <v>25</v>
      </c>
      <c r="C207" s="4">
        <v>13.1</v>
      </c>
      <c r="D207" s="4">
        <v>3.76</v>
      </c>
      <c r="E207" s="4">
        <v>8.8000000000000007</v>
      </c>
      <c r="F207" s="4">
        <v>11.3</v>
      </c>
      <c r="G207" s="4">
        <v>18.5</v>
      </c>
      <c r="I207" s="4">
        <v>0</v>
      </c>
      <c r="J207" s="4">
        <v>7.9406777604410408E-2</v>
      </c>
      <c r="K207" s="4">
        <v>0.11844815041319409</v>
      </c>
      <c r="L207" s="4">
        <v>1.7192400540372771E-2</v>
      </c>
      <c r="M207" s="4">
        <v>5.4558984250434608E-2</v>
      </c>
      <c r="N207" s="4">
        <v>1.6349138001529411E-2</v>
      </c>
    </row>
    <row r="208" spans="1:14">
      <c r="A208" s="8">
        <v>40093</v>
      </c>
      <c r="B208" s="4">
        <v>24.7</v>
      </c>
      <c r="C208" s="4">
        <v>13.4</v>
      </c>
      <c r="D208" s="4">
        <v>4.1399999999999997</v>
      </c>
      <c r="E208" s="4">
        <v>8.6999999999999993</v>
      </c>
      <c r="F208" s="4">
        <v>11.1</v>
      </c>
      <c r="G208" s="4">
        <v>19.100000000000001</v>
      </c>
      <c r="I208" s="4">
        <v>-1.2072581234269249E-2</v>
      </c>
      <c r="J208" s="4">
        <v>2.2642476749759971E-2</v>
      </c>
      <c r="K208" s="4">
        <v>9.6276830435419777E-2</v>
      </c>
      <c r="L208" s="4">
        <v>-1.1428695823622968E-2</v>
      </c>
      <c r="M208" s="4">
        <v>-1.7857617400006572E-2</v>
      </c>
      <c r="N208" s="4">
        <v>3.1917602968305162E-2</v>
      </c>
    </row>
    <row r="209" spans="1:14">
      <c r="A209" s="8">
        <v>40094</v>
      </c>
      <c r="B209" s="4">
        <v>24.6</v>
      </c>
      <c r="C209" s="4">
        <v>14.9</v>
      </c>
      <c r="D209" s="4">
        <v>4.16</v>
      </c>
      <c r="E209" s="4">
        <v>8.9</v>
      </c>
      <c r="F209" s="4">
        <v>11.1</v>
      </c>
      <c r="G209" s="4">
        <v>19.899999999999999</v>
      </c>
      <c r="I209" s="4">
        <v>-4.056800695614318E-3</v>
      </c>
      <c r="J209" s="4">
        <v>0.10610650599454777</v>
      </c>
      <c r="K209" s="4">
        <v>4.8192864359489218E-3</v>
      </c>
      <c r="L209" s="4">
        <v>2.272825107755631E-2</v>
      </c>
      <c r="M209" s="4">
        <v>0</v>
      </c>
      <c r="N209" s="4">
        <v>4.1031396677862354E-2</v>
      </c>
    </row>
    <row r="210" spans="1:14">
      <c r="A210" s="8">
        <v>40095</v>
      </c>
      <c r="B210" s="4">
        <v>25.5</v>
      </c>
      <c r="C210" s="4">
        <v>14.2</v>
      </c>
      <c r="D210" s="4">
        <v>4.0599999999999996</v>
      </c>
      <c r="E210" s="4">
        <v>9</v>
      </c>
      <c r="F210" s="4">
        <v>11.2</v>
      </c>
      <c r="G210" s="4">
        <v>21.2</v>
      </c>
      <c r="I210" s="4">
        <v>3.593200922606337E-2</v>
      </c>
      <c r="J210" s="4">
        <v>-4.8119248344198458E-2</v>
      </c>
      <c r="K210" s="4">
        <v>-2.4332100659530783E-2</v>
      </c>
      <c r="L210" s="4">
        <v>1.1173300598125255E-2</v>
      </c>
      <c r="M210" s="4">
        <v>8.9686699827603161E-3</v>
      </c>
      <c r="N210" s="4">
        <v>6.328144994752001E-2</v>
      </c>
    </row>
    <row r="211" spans="1:14">
      <c r="A211" s="8">
        <v>40098</v>
      </c>
      <c r="B211" s="4">
        <v>25.25</v>
      </c>
      <c r="C211" s="4">
        <v>14.3</v>
      </c>
      <c r="D211" s="4">
        <v>4.12</v>
      </c>
      <c r="E211" s="4">
        <v>9.5</v>
      </c>
      <c r="F211" s="4">
        <v>11</v>
      </c>
      <c r="G211" s="4">
        <v>21.6</v>
      </c>
      <c r="I211" s="4">
        <v>-9.8522964430115944E-3</v>
      </c>
      <c r="J211" s="4">
        <v>7.0175726586465398E-3</v>
      </c>
      <c r="K211" s="4">
        <v>1.4670189747793839E-2</v>
      </c>
      <c r="L211" s="4">
        <v>5.4067221270275793E-2</v>
      </c>
      <c r="M211" s="4">
        <v>-1.801850550267825E-2</v>
      </c>
      <c r="N211" s="4">
        <v>1.8692133012152546E-2</v>
      </c>
    </row>
    <row r="212" spans="1:14">
      <c r="A212" s="8">
        <v>40099</v>
      </c>
      <c r="B212" s="4">
        <v>25.25</v>
      </c>
      <c r="C212" s="4">
        <v>14.4</v>
      </c>
      <c r="D212" s="4">
        <v>4.12</v>
      </c>
      <c r="E212" s="4">
        <v>9.6</v>
      </c>
      <c r="F212" s="4">
        <v>10.8</v>
      </c>
      <c r="G212" s="4">
        <v>20.5</v>
      </c>
      <c r="I212" s="4">
        <v>0</v>
      </c>
      <c r="J212" s="4">
        <v>6.9686693160932152E-3</v>
      </c>
      <c r="K212" s="4">
        <v>0</v>
      </c>
      <c r="L212" s="4">
        <v>1.0471299867295437E-2</v>
      </c>
      <c r="M212" s="4">
        <v>-1.834913866819643E-2</v>
      </c>
      <c r="N212" s="4">
        <v>-5.2268428545756945E-2</v>
      </c>
    </row>
    <row r="213" spans="1:14">
      <c r="A213" s="8">
        <v>40100</v>
      </c>
      <c r="B213" s="4">
        <v>24.8</v>
      </c>
      <c r="C213" s="4">
        <v>14</v>
      </c>
      <c r="D213" s="4">
        <v>3.9</v>
      </c>
      <c r="E213" s="4">
        <v>9.4499999999999993</v>
      </c>
      <c r="F213" s="4">
        <v>10.4</v>
      </c>
      <c r="G213" s="4">
        <v>20.100000000000001</v>
      </c>
      <c r="I213" s="4">
        <v>-1.7982502550432357E-2</v>
      </c>
      <c r="J213" s="4">
        <v>-2.8170876966696335E-2</v>
      </c>
      <c r="K213" s="4">
        <v>-5.4876610225834371E-2</v>
      </c>
      <c r="L213" s="4">
        <v>-1.5748356968139168E-2</v>
      </c>
      <c r="M213" s="4">
        <v>-3.7740327982847086E-2</v>
      </c>
      <c r="N213" s="4">
        <v>-1.9705071079332333E-2</v>
      </c>
    </row>
    <row r="214" spans="1:14">
      <c r="A214" s="8">
        <v>40101</v>
      </c>
      <c r="B214" s="4">
        <v>23.4</v>
      </c>
      <c r="C214" s="4">
        <v>13.6</v>
      </c>
      <c r="D214" s="4">
        <v>3.6</v>
      </c>
      <c r="E214" s="4">
        <v>8.6</v>
      </c>
      <c r="F214" s="4">
        <v>9.4499999999999993</v>
      </c>
      <c r="G214" s="4">
        <v>18.399999999999999</v>
      </c>
      <c r="I214" s="4">
        <v>-5.8107630807280812E-2</v>
      </c>
      <c r="J214" s="4">
        <v>-2.8987536873252298E-2</v>
      </c>
      <c r="K214" s="4">
        <v>-8.004270767353637E-2</v>
      </c>
      <c r="L214" s="4">
        <v>-9.4252538246189274E-2</v>
      </c>
      <c r="M214" s="4">
        <v>-9.5791064641675722E-2</v>
      </c>
      <c r="N214" s="4">
        <v>-8.836915045009032E-2</v>
      </c>
    </row>
    <row r="215" spans="1:14">
      <c r="A215" s="8">
        <v>40102</v>
      </c>
      <c r="B215" s="4">
        <v>24.4</v>
      </c>
      <c r="C215" s="4">
        <v>14.1</v>
      </c>
      <c r="D215" s="4">
        <v>3.94</v>
      </c>
      <c r="E215" s="4">
        <v>9</v>
      </c>
      <c r="F215" s="4">
        <v>10.199999999999999</v>
      </c>
      <c r="G215" s="4">
        <v>19.8</v>
      </c>
      <c r="I215" s="4">
        <v>4.1847109935500504E-2</v>
      </c>
      <c r="J215" s="4">
        <v>3.6105004642116356E-2</v>
      </c>
      <c r="K215" s="4">
        <v>9.0246877847778031E-2</v>
      </c>
      <c r="L215" s="4">
        <v>4.5462374076757413E-2</v>
      </c>
      <c r="M215" s="4">
        <v>7.6372978784573956E-2</v>
      </c>
      <c r="N215" s="4">
        <v>7.3331273085549722E-2</v>
      </c>
    </row>
    <row r="216" spans="1:14">
      <c r="A216" s="8">
        <v>40105</v>
      </c>
      <c r="B216" s="4">
        <v>25</v>
      </c>
      <c r="C216" s="4">
        <v>14.4</v>
      </c>
      <c r="D216" s="4">
        <v>3.94</v>
      </c>
      <c r="E216" s="4">
        <v>9.5500000000000007</v>
      </c>
      <c r="F216" s="4">
        <v>10.3</v>
      </c>
      <c r="G216" s="4">
        <v>20.9</v>
      </c>
      <c r="I216" s="4">
        <v>2.4292692569044701E-2</v>
      </c>
      <c r="J216" s="4">
        <v>2.1053409197832482E-2</v>
      </c>
      <c r="K216" s="4">
        <v>0</v>
      </c>
      <c r="L216" s="4">
        <v>5.9316577156419505E-2</v>
      </c>
      <c r="M216" s="4">
        <v>9.7561749453648743E-3</v>
      </c>
      <c r="N216" s="4">
        <v>5.4067221270275578E-2</v>
      </c>
    </row>
    <row r="217" spans="1:14">
      <c r="A217" s="8">
        <v>40106</v>
      </c>
      <c r="B217" s="4">
        <v>24.8</v>
      </c>
      <c r="C217" s="4">
        <v>14.6</v>
      </c>
      <c r="D217" s="4">
        <v>3.94</v>
      </c>
      <c r="E217" s="4">
        <v>9.35</v>
      </c>
      <c r="F217" s="4">
        <v>10.6</v>
      </c>
      <c r="G217" s="4">
        <v>20.6</v>
      </c>
      <c r="I217" s="4">
        <v>-8.0321716972642666E-3</v>
      </c>
      <c r="J217" s="4">
        <v>1.3793322132335769E-2</v>
      </c>
      <c r="K217" s="4">
        <v>0</v>
      </c>
      <c r="L217" s="4">
        <v>-2.1164811192043383E-2</v>
      </c>
      <c r="M217" s="4">
        <v>2.871010588243136E-2</v>
      </c>
      <c r="N217" s="4">
        <v>-1.4458083175229775E-2</v>
      </c>
    </row>
    <row r="218" spans="1:14">
      <c r="A218" s="8">
        <v>40107</v>
      </c>
      <c r="B218" s="4">
        <v>24.8</v>
      </c>
      <c r="C218" s="4">
        <v>15.4</v>
      </c>
      <c r="D218" s="4">
        <v>3.92</v>
      </c>
      <c r="E218" s="4">
        <v>9.1</v>
      </c>
      <c r="F218" s="4">
        <v>10.3</v>
      </c>
      <c r="G218" s="4">
        <v>20.399999999999999</v>
      </c>
      <c r="I218" s="4">
        <v>0</v>
      </c>
      <c r="J218" s="4">
        <v>5.3345980705292714E-2</v>
      </c>
      <c r="K218" s="4">
        <v>-5.0890695074712932E-3</v>
      </c>
      <c r="L218" s="4">
        <v>-2.7101929777791269E-2</v>
      </c>
      <c r="M218" s="4">
        <v>-2.8710105882431253E-2</v>
      </c>
      <c r="N218" s="4">
        <v>-9.756174945364798E-3</v>
      </c>
    </row>
    <row r="219" spans="1:14">
      <c r="A219" s="8">
        <v>40108</v>
      </c>
      <c r="B219" s="4">
        <v>23.9</v>
      </c>
      <c r="C219" s="4">
        <v>15.2</v>
      </c>
      <c r="D219" s="4">
        <v>3.84</v>
      </c>
      <c r="E219" s="4">
        <v>8.9</v>
      </c>
      <c r="F219" s="4">
        <v>10.1</v>
      </c>
      <c r="G219" s="4">
        <v>20.2</v>
      </c>
      <c r="I219" s="4">
        <v>-3.6965194233471589E-2</v>
      </c>
      <c r="J219" s="4">
        <v>-1.3072081567352888E-2</v>
      </c>
      <c r="K219" s="4">
        <v>-2.0619287202735703E-2</v>
      </c>
      <c r="L219" s="4">
        <v>-2.2223136784710124E-2</v>
      </c>
      <c r="M219" s="4">
        <v>-1.9608471388376424E-2</v>
      </c>
      <c r="N219" s="4">
        <v>-9.8522964430115944E-3</v>
      </c>
    </row>
    <row r="220" spans="1:14">
      <c r="A220" s="8">
        <v>40112</v>
      </c>
      <c r="B220" s="4">
        <v>23.8</v>
      </c>
      <c r="C220" s="4">
        <v>15.4</v>
      </c>
      <c r="D220" s="4">
        <v>3.88</v>
      </c>
      <c r="E220" s="4">
        <v>9.1</v>
      </c>
      <c r="F220" s="4">
        <v>10.1</v>
      </c>
      <c r="G220" s="4">
        <v>20.3</v>
      </c>
      <c r="I220" s="4">
        <v>-4.1928782600359274E-3</v>
      </c>
      <c r="J220" s="4">
        <v>1.3072081567352921E-2</v>
      </c>
      <c r="K220" s="4">
        <v>1.0362787035546658E-2</v>
      </c>
      <c r="L220" s="4">
        <v>2.2223136784710041E-2</v>
      </c>
      <c r="M220" s="4">
        <v>0</v>
      </c>
      <c r="N220" s="4">
        <v>4.9382816405825767E-3</v>
      </c>
    </row>
    <row r="221" spans="1:14">
      <c r="A221" s="8">
        <v>40113</v>
      </c>
      <c r="B221" s="4">
        <v>24</v>
      </c>
      <c r="C221" s="4">
        <v>16.2</v>
      </c>
      <c r="D221" s="4">
        <v>3.96</v>
      </c>
      <c r="E221" s="4">
        <v>9.65</v>
      </c>
      <c r="F221" s="4">
        <v>10.199999999999999</v>
      </c>
      <c r="G221" s="4">
        <v>20.7</v>
      </c>
      <c r="I221" s="4">
        <v>8.3682496705165792E-3</v>
      </c>
      <c r="J221" s="4">
        <v>5.0643732818754936E-2</v>
      </c>
      <c r="K221" s="4">
        <v>2.0408871631207033E-2</v>
      </c>
      <c r="L221" s="4">
        <v>5.8683501828090207E-2</v>
      </c>
      <c r="M221" s="4">
        <v>9.8522964430116395E-3</v>
      </c>
      <c r="N221" s="4">
        <v>1.9512814223581719E-2</v>
      </c>
    </row>
    <row r="222" spans="1:14">
      <c r="A222" s="8">
        <v>40114</v>
      </c>
      <c r="B222" s="4">
        <v>23.7</v>
      </c>
      <c r="C222" s="4">
        <v>16.2</v>
      </c>
      <c r="D222" s="4">
        <v>3.9</v>
      </c>
      <c r="E222" s="4">
        <v>9.25</v>
      </c>
      <c r="F222" s="4">
        <v>9.9499999999999993</v>
      </c>
      <c r="G222" s="4">
        <v>20.3</v>
      </c>
      <c r="I222" s="4">
        <v>-1.2578782206860185E-2</v>
      </c>
      <c r="J222" s="4">
        <v>0</v>
      </c>
      <c r="K222" s="4">
        <v>-1.5267472130788421E-2</v>
      </c>
      <c r="L222" s="4">
        <v>-4.2334363826560771E-2</v>
      </c>
      <c r="M222" s="4">
        <v>-2.481516911972402E-2</v>
      </c>
      <c r="N222" s="4">
        <v>-1.9512814223581715E-2</v>
      </c>
    </row>
    <row r="223" spans="1:14">
      <c r="A223" s="8">
        <v>40115</v>
      </c>
      <c r="B223" s="4">
        <v>23.3</v>
      </c>
      <c r="C223" s="4">
        <v>16</v>
      </c>
      <c r="D223" s="4">
        <v>3.82</v>
      </c>
      <c r="E223" s="4">
        <v>9.5</v>
      </c>
      <c r="F223" s="4">
        <v>9.8000000000000007</v>
      </c>
      <c r="G223" s="4">
        <v>19.899999999999999</v>
      </c>
      <c r="I223" s="4">
        <v>-1.7021687569430524E-2</v>
      </c>
      <c r="J223" s="4">
        <v>-1.2422519998557096E-2</v>
      </c>
      <c r="K223" s="4">
        <v>-2.072613051711697E-2</v>
      </c>
      <c r="L223" s="4">
        <v>2.6668247082161273E-2</v>
      </c>
      <c r="M223" s="4">
        <v>-1.5190165493975007E-2</v>
      </c>
      <c r="N223" s="4">
        <v>-1.9901154317295024E-2</v>
      </c>
    </row>
    <row r="224" spans="1:14">
      <c r="A224" s="8">
        <v>40116</v>
      </c>
      <c r="B224" s="4">
        <v>23.7</v>
      </c>
      <c r="C224" s="4">
        <v>15.6</v>
      </c>
      <c r="D224" s="4">
        <v>3.78</v>
      </c>
      <c r="E224" s="4">
        <v>9.65</v>
      </c>
      <c r="F224" s="4">
        <v>9.6</v>
      </c>
      <c r="G224" s="4">
        <v>19.7</v>
      </c>
      <c r="I224" s="4">
        <v>1.7021687569430524E-2</v>
      </c>
      <c r="J224" s="4">
        <v>-2.5317807984289897E-2</v>
      </c>
      <c r="K224" s="4">
        <v>-1.0526412986987504E-2</v>
      </c>
      <c r="L224" s="4">
        <v>1.5666116744399456E-2</v>
      </c>
      <c r="M224" s="4">
        <v>-2.0619287202735818E-2</v>
      </c>
      <c r="N224" s="4">
        <v>-1.0101095986503821E-2</v>
      </c>
    </row>
    <row r="225" spans="1:14">
      <c r="A225" s="8">
        <v>40119</v>
      </c>
      <c r="B225" s="4">
        <v>23.2</v>
      </c>
      <c r="C225" s="4">
        <v>15.3</v>
      </c>
      <c r="D225" s="4">
        <v>3.72</v>
      </c>
      <c r="E225" s="4">
        <v>9.5</v>
      </c>
      <c r="F225" s="4">
        <v>9.4</v>
      </c>
      <c r="G225" s="4">
        <v>19.399999999999999</v>
      </c>
      <c r="I225" s="4">
        <v>-2.1322769468821192E-2</v>
      </c>
      <c r="J225" s="4">
        <v>-1.9418085857101513E-2</v>
      </c>
      <c r="K225" s="4">
        <v>-1.6000341346441075E-2</v>
      </c>
      <c r="L225" s="4">
        <v>-1.5666116744399463E-2</v>
      </c>
      <c r="M225" s="4">
        <v>-2.1053409197832267E-2</v>
      </c>
      <c r="N225" s="4">
        <v>-1.5345569674660421E-2</v>
      </c>
    </row>
    <row r="226" spans="1:14">
      <c r="A226" s="8">
        <v>40120</v>
      </c>
      <c r="B226" s="4">
        <v>22.9</v>
      </c>
      <c r="C226" s="4">
        <v>15.4</v>
      </c>
      <c r="D226" s="4">
        <v>3.86</v>
      </c>
      <c r="E226" s="4">
        <v>9.3000000000000007</v>
      </c>
      <c r="F226" s="4">
        <v>8.9</v>
      </c>
      <c r="G226" s="4">
        <v>19</v>
      </c>
      <c r="I226" s="4">
        <v>-1.3015368112070361E-2</v>
      </c>
      <c r="J226" s="4">
        <v>6.5146810211936723E-3</v>
      </c>
      <c r="K226" s="4">
        <v>3.6943515191684276E-2</v>
      </c>
      <c r="L226" s="4">
        <v>-2.1277398447284851E-2</v>
      </c>
      <c r="M226" s="4">
        <v>-5.4658412537864083E-2</v>
      </c>
      <c r="N226" s="4">
        <v>-2.0834086902841914E-2</v>
      </c>
    </row>
    <row r="227" spans="1:14">
      <c r="A227" s="8">
        <v>40121</v>
      </c>
      <c r="B227" s="4">
        <v>23.4</v>
      </c>
      <c r="C227" s="4">
        <v>15.5</v>
      </c>
      <c r="D227" s="4">
        <v>4.0199999999999996</v>
      </c>
      <c r="E227" s="4">
        <v>9.5</v>
      </c>
      <c r="F227" s="4">
        <v>9.35</v>
      </c>
      <c r="G227" s="4">
        <v>19.600000000000001</v>
      </c>
      <c r="I227" s="4">
        <v>2.1599111803461721E-2</v>
      </c>
      <c r="J227" s="4">
        <v>6.4725145056175196E-3</v>
      </c>
      <c r="K227" s="4">
        <v>4.0614719154190126E-2</v>
      </c>
      <c r="L227" s="4">
        <v>2.1277398447284879E-2</v>
      </c>
      <c r="M227" s="4">
        <v>4.9325066562501491E-2</v>
      </c>
      <c r="N227" s="4">
        <v>3.1090587070031182E-2</v>
      </c>
    </row>
    <row r="228" spans="1:14">
      <c r="A228" s="8">
        <v>40122</v>
      </c>
      <c r="B228" s="4">
        <v>23.2</v>
      </c>
      <c r="C228" s="4">
        <v>15.4</v>
      </c>
      <c r="D228" s="4">
        <v>4.38</v>
      </c>
      <c r="E228" s="4">
        <v>9.4</v>
      </c>
      <c r="F228" s="4">
        <v>9.1999999999999993</v>
      </c>
      <c r="G228" s="4">
        <v>19.5</v>
      </c>
      <c r="I228" s="4">
        <v>-8.5837436913914419E-3</v>
      </c>
      <c r="J228" s="4">
        <v>-6.4725145056174788E-3</v>
      </c>
      <c r="K228" s="4">
        <v>8.5766821757425102E-2</v>
      </c>
      <c r="L228" s="4">
        <v>-1.0582109330536859E-2</v>
      </c>
      <c r="M228" s="4">
        <v>-1.6172859245601072E-2</v>
      </c>
      <c r="N228" s="4">
        <v>-5.1151006667704887E-3</v>
      </c>
    </row>
    <row r="229" spans="1:14">
      <c r="A229" s="8">
        <v>40123</v>
      </c>
      <c r="B229" s="4">
        <v>23.5</v>
      </c>
      <c r="C229" s="4">
        <v>15.6</v>
      </c>
      <c r="D229" s="4">
        <v>4.34</v>
      </c>
      <c r="E229" s="4">
        <v>9.5500000000000007</v>
      </c>
      <c r="F229" s="4">
        <v>9.65</v>
      </c>
      <c r="G229" s="4">
        <v>20.100000000000001</v>
      </c>
      <c r="I229" s="4">
        <v>1.2848142477849059E-2</v>
      </c>
      <c r="J229" s="4">
        <v>1.2903404835907782E-2</v>
      </c>
      <c r="K229" s="4">
        <v>-9.1743762760412694E-3</v>
      </c>
      <c r="L229" s="4">
        <v>1.5831465216680662E-2</v>
      </c>
      <c r="M229" s="4">
        <v>4.7754431295900034E-2</v>
      </c>
      <c r="N229" s="4">
        <v>3.0305349495329058E-2</v>
      </c>
    </row>
    <row r="230" spans="1:14">
      <c r="A230" s="8">
        <v>40126</v>
      </c>
      <c r="B230" s="4">
        <v>23.8</v>
      </c>
      <c r="C230" s="4">
        <v>15.5</v>
      </c>
      <c r="D230" s="4">
        <v>4.26</v>
      </c>
      <c r="E230" s="4">
        <v>9.8000000000000007</v>
      </c>
      <c r="F230" s="4">
        <v>10</v>
      </c>
      <c r="G230" s="4">
        <v>20.2</v>
      </c>
      <c r="I230" s="4">
        <v>1.2685159527315861E-2</v>
      </c>
      <c r="J230" s="4">
        <v>-6.4308903302904025E-3</v>
      </c>
      <c r="K230" s="4">
        <v>-1.8605187831034469E-2</v>
      </c>
      <c r="L230" s="4">
        <v>2.5841231183887328E-2</v>
      </c>
      <c r="M230" s="4">
        <v>3.5627177643151035E-2</v>
      </c>
      <c r="N230" s="4">
        <v>4.962789342128876E-3</v>
      </c>
    </row>
    <row r="231" spans="1:14">
      <c r="A231" s="8">
        <v>40127</v>
      </c>
      <c r="B231" s="4">
        <v>24.5</v>
      </c>
      <c r="C231" s="4">
        <v>15.4</v>
      </c>
      <c r="D231" s="4">
        <v>4.26</v>
      </c>
      <c r="E231" s="4">
        <v>9.6999999999999993</v>
      </c>
      <c r="F231" s="4">
        <v>9.6999999999999993</v>
      </c>
      <c r="G231" s="4">
        <v>19.899999999999999</v>
      </c>
      <c r="I231" s="4">
        <v>2.8987536873252187E-2</v>
      </c>
      <c r="J231" s="4">
        <v>-6.4725145056174788E-3</v>
      </c>
      <c r="K231" s="4">
        <v>0</v>
      </c>
      <c r="L231" s="4">
        <v>-1.0256500167189221E-2</v>
      </c>
      <c r="M231" s="4">
        <v>-3.0459207484708574E-2</v>
      </c>
      <c r="N231" s="4">
        <v>-1.4962872676712377E-2</v>
      </c>
    </row>
    <row r="232" spans="1:14">
      <c r="A232" s="8">
        <v>40128</v>
      </c>
      <c r="B232" s="4">
        <v>24.7</v>
      </c>
      <c r="C232" s="4">
        <v>15.7</v>
      </c>
      <c r="D232" s="4">
        <v>4.16</v>
      </c>
      <c r="E232" s="4">
        <v>10.199999999999999</v>
      </c>
      <c r="F232" s="4">
        <v>9.8000000000000007</v>
      </c>
      <c r="G232" s="4">
        <v>20.2</v>
      </c>
      <c r="I232" s="4">
        <v>8.1301260832500888E-3</v>
      </c>
      <c r="J232" s="4">
        <v>1.9293202934678851E-2</v>
      </c>
      <c r="K232" s="4">
        <v>-2.375408600810703E-2</v>
      </c>
      <c r="L232" s="4">
        <v>5.0261834780888297E-2</v>
      </c>
      <c r="M232" s="4">
        <v>1.0256500167189282E-2</v>
      </c>
      <c r="N232" s="4">
        <v>1.496287267671232E-2</v>
      </c>
    </row>
    <row r="233" spans="1:14">
      <c r="A233" s="8">
        <v>40129</v>
      </c>
      <c r="B233" s="4">
        <v>23.9</v>
      </c>
      <c r="C233" s="4">
        <v>15.9</v>
      </c>
      <c r="D233" s="4">
        <v>4.2</v>
      </c>
      <c r="E233" s="4">
        <v>10.199999999999999</v>
      </c>
      <c r="F233" s="4">
        <v>9.35</v>
      </c>
      <c r="G233" s="4">
        <v>19.600000000000001</v>
      </c>
      <c r="I233" s="4">
        <v>-3.2924784696466612E-2</v>
      </c>
      <c r="J233" s="4">
        <v>1.2658396871923465E-2</v>
      </c>
      <c r="K233" s="4">
        <v>9.5694510161506725E-3</v>
      </c>
      <c r="L233" s="4">
        <v>0</v>
      </c>
      <c r="M233" s="4">
        <v>-4.7006042375930715E-2</v>
      </c>
      <c r="N233" s="4">
        <v>-3.0153038170687443E-2</v>
      </c>
    </row>
    <row r="234" spans="1:14">
      <c r="A234" s="8">
        <v>40130</v>
      </c>
      <c r="B234" s="4">
        <v>24.3</v>
      </c>
      <c r="C234" s="4">
        <v>16.2</v>
      </c>
      <c r="D234" s="4">
        <v>4.0999999999999996</v>
      </c>
      <c r="E234" s="4">
        <v>10.9</v>
      </c>
      <c r="F234" s="4">
        <v>9.3000000000000007</v>
      </c>
      <c r="G234" s="4">
        <v>19.600000000000001</v>
      </c>
      <c r="I234" s="4">
        <v>1.6597891409037831E-2</v>
      </c>
      <c r="J234" s="4">
        <v>1.8692133012152546E-2</v>
      </c>
      <c r="K234" s="4">
        <v>-2.4097551579060641E-2</v>
      </c>
      <c r="L234" s="4">
        <v>6.63750689448728E-2</v>
      </c>
      <c r="M234" s="4">
        <v>-5.3619431413852872E-3</v>
      </c>
      <c r="N234" s="4">
        <v>0</v>
      </c>
    </row>
    <row r="235" spans="1:14">
      <c r="A235" s="8">
        <v>40133</v>
      </c>
      <c r="B235" s="4">
        <v>24.4</v>
      </c>
      <c r="C235" s="4">
        <v>15.9</v>
      </c>
      <c r="D235" s="4">
        <v>3.9</v>
      </c>
      <c r="E235" s="4">
        <v>11.6</v>
      </c>
      <c r="F235" s="4">
        <v>9.35</v>
      </c>
      <c r="G235" s="4">
        <v>19.8</v>
      </c>
      <c r="I235" s="4">
        <v>4.1067819526532812E-3</v>
      </c>
      <c r="J235" s="4">
        <v>-1.8692133012152522E-2</v>
      </c>
      <c r="K235" s="4">
        <v>-5.0010420574661305E-2</v>
      </c>
      <c r="L235" s="4">
        <v>6.2242308877220792E-2</v>
      </c>
      <c r="M235" s="4">
        <v>5.3619431413853731E-3</v>
      </c>
      <c r="N235" s="4">
        <v>1.0152371464017908E-2</v>
      </c>
    </row>
    <row r="236" spans="1:14">
      <c r="A236" s="8">
        <v>40134</v>
      </c>
      <c r="B236" s="4">
        <v>24.5</v>
      </c>
      <c r="C236" s="4">
        <v>15.8</v>
      </c>
      <c r="D236" s="4">
        <v>3.98</v>
      </c>
      <c r="E236" s="4">
        <v>11.3</v>
      </c>
      <c r="F236" s="4">
        <v>9.25</v>
      </c>
      <c r="G236" s="4">
        <v>19.899999999999999</v>
      </c>
      <c r="I236" s="4">
        <v>4.0899852515250664E-3</v>
      </c>
      <c r="J236" s="4">
        <v>-6.309169193264721E-3</v>
      </c>
      <c r="K236" s="4">
        <v>2.0305266160745523E-2</v>
      </c>
      <c r="L236" s="4">
        <v>-2.6202372394023961E-2</v>
      </c>
      <c r="M236" s="4">
        <v>-1.0752791776261737E-2</v>
      </c>
      <c r="N236" s="4">
        <v>5.037794029957081E-3</v>
      </c>
    </row>
    <row r="237" spans="1:14">
      <c r="A237" s="8">
        <v>40135</v>
      </c>
      <c r="B237" s="4">
        <v>24.4</v>
      </c>
      <c r="C237" s="4">
        <v>16.100000000000001</v>
      </c>
      <c r="D237" s="4">
        <v>3.98</v>
      </c>
      <c r="E237" s="4">
        <v>11</v>
      </c>
      <c r="F237" s="4">
        <v>9.1999999999999993</v>
      </c>
      <c r="G237" s="4">
        <v>20.7</v>
      </c>
      <c r="I237" s="4">
        <v>-4.0899852515251661E-3</v>
      </c>
      <c r="J237" s="4">
        <v>1.8809331957496293E-2</v>
      </c>
      <c r="K237" s="4">
        <v>0</v>
      </c>
      <c r="L237" s="4">
        <v>-2.6907452919924382E-2</v>
      </c>
      <c r="M237" s="4">
        <v>-5.4200674693392556E-3</v>
      </c>
      <c r="N237" s="4">
        <v>3.9413968540876629E-2</v>
      </c>
    </row>
    <row r="238" spans="1:14">
      <c r="A238" s="8">
        <v>40136</v>
      </c>
      <c r="B238" s="4">
        <v>24.1</v>
      </c>
      <c r="C238" s="4">
        <v>16.100000000000001</v>
      </c>
      <c r="D238" s="4">
        <v>3.9</v>
      </c>
      <c r="E238" s="4">
        <v>10.9</v>
      </c>
      <c r="F238" s="4">
        <v>9.1</v>
      </c>
      <c r="G238" s="4">
        <v>20.2</v>
      </c>
      <c r="I238" s="4">
        <v>-1.2371291802546718E-2</v>
      </c>
      <c r="J238" s="4">
        <v>0</v>
      </c>
      <c r="K238" s="4">
        <v>-2.0305266160745569E-2</v>
      </c>
      <c r="L238" s="4">
        <v>-9.1324835632724741E-3</v>
      </c>
      <c r="M238" s="4">
        <v>-1.0929070532190206E-2</v>
      </c>
      <c r="N238" s="4">
        <v>-2.4451095864164309E-2</v>
      </c>
    </row>
    <row r="239" spans="1:14">
      <c r="A239" s="8">
        <v>40137</v>
      </c>
      <c r="B239" s="4">
        <v>24.4</v>
      </c>
      <c r="C239" s="4">
        <v>16.100000000000001</v>
      </c>
      <c r="D239" s="4">
        <v>3.82</v>
      </c>
      <c r="E239" s="4">
        <v>10.7</v>
      </c>
      <c r="F239" s="4">
        <v>9.0500000000000007</v>
      </c>
      <c r="G239" s="4">
        <v>20.3</v>
      </c>
      <c r="I239" s="4">
        <v>1.2371291802546829E-2</v>
      </c>
      <c r="J239" s="4">
        <v>0</v>
      </c>
      <c r="K239" s="4">
        <v>-2.072613051711697E-2</v>
      </c>
      <c r="L239" s="4">
        <v>-1.8519047767237642E-2</v>
      </c>
      <c r="M239" s="4">
        <v>-5.5096558109694726E-3</v>
      </c>
      <c r="N239" s="4">
        <v>4.9382816405825767E-3</v>
      </c>
    </row>
    <row r="240" spans="1:14">
      <c r="A240" s="8">
        <v>40140</v>
      </c>
      <c r="B240" s="4">
        <v>24.3</v>
      </c>
      <c r="C240" s="4">
        <v>15.9</v>
      </c>
      <c r="D240" s="4">
        <v>4.12</v>
      </c>
      <c r="E240" s="4">
        <v>10.6</v>
      </c>
      <c r="F240" s="4">
        <v>8.85</v>
      </c>
      <c r="G240" s="4">
        <v>20</v>
      </c>
      <c r="I240" s="4">
        <v>-4.1067819526533593E-3</v>
      </c>
      <c r="J240" s="4">
        <v>-1.2500162764231494E-2</v>
      </c>
      <c r="K240" s="4">
        <v>7.5602740742951341E-2</v>
      </c>
      <c r="L240" s="4">
        <v>-9.3897403498390316E-3</v>
      </c>
      <c r="M240" s="4">
        <v>-2.2347298691996774E-2</v>
      </c>
      <c r="N240" s="4">
        <v>-1.4888612493750637E-2</v>
      </c>
    </row>
    <row r="241" spans="1:14">
      <c r="A241" s="8">
        <v>40141</v>
      </c>
      <c r="B241" s="4">
        <v>24.5</v>
      </c>
      <c r="C241" s="4">
        <v>15.5</v>
      </c>
      <c r="D241" s="4">
        <v>3.88</v>
      </c>
      <c r="E241" s="4">
        <v>10.5</v>
      </c>
      <c r="F241" s="4">
        <v>8.6</v>
      </c>
      <c r="G241" s="4">
        <v>19.600000000000001</v>
      </c>
      <c r="I241" s="4">
        <v>8.1967672041784907E-3</v>
      </c>
      <c r="J241" s="4">
        <v>-2.5479085300984899E-2</v>
      </c>
      <c r="K241" s="4">
        <v>-6.0018009726253041E-2</v>
      </c>
      <c r="L241" s="4">
        <v>-9.47874395454377E-3</v>
      </c>
      <c r="M241" s="4">
        <v>-2.8655255760376062E-2</v>
      </c>
      <c r="N241" s="4">
        <v>-2.0202707317519355E-2</v>
      </c>
    </row>
    <row r="242" spans="1:14">
      <c r="A242" s="8">
        <v>40142</v>
      </c>
      <c r="B242" s="4">
        <v>26</v>
      </c>
      <c r="C242" s="4">
        <v>15.7</v>
      </c>
      <c r="D242" s="4">
        <v>4.0599999999999996</v>
      </c>
      <c r="E242" s="4">
        <v>10.8</v>
      </c>
      <c r="F242" s="4">
        <v>9.15</v>
      </c>
      <c r="G242" s="4">
        <v>20.2</v>
      </c>
      <c r="I242" s="4">
        <v>5.9423420470800806E-2</v>
      </c>
      <c r="J242" s="4">
        <v>1.2820688429061469E-2</v>
      </c>
      <c r="K242" s="4">
        <v>4.5347819978459041E-2</v>
      </c>
      <c r="L242" s="4">
        <v>2.8170876966696439E-2</v>
      </c>
      <c r="M242" s="4">
        <v>6.1991676027968005E-2</v>
      </c>
      <c r="N242" s="4">
        <v>3.0153038170687457E-2</v>
      </c>
    </row>
    <row r="243" spans="1:14">
      <c r="A243" s="8">
        <v>40143</v>
      </c>
      <c r="B243" s="4">
        <v>27</v>
      </c>
      <c r="C243" s="4">
        <v>15.7</v>
      </c>
      <c r="D243" s="4">
        <v>3.92</v>
      </c>
      <c r="E243" s="4">
        <v>10.4</v>
      </c>
      <c r="F243" s="4">
        <v>8.8000000000000007</v>
      </c>
      <c r="G243" s="4">
        <v>20.7</v>
      </c>
      <c r="I243" s="4">
        <v>3.7740327982847113E-2</v>
      </c>
      <c r="J243" s="4">
        <v>0</v>
      </c>
      <c r="K243" s="4">
        <v>-3.5091319811270061E-2</v>
      </c>
      <c r="L243" s="4">
        <v>-3.7740327982847086E-2</v>
      </c>
      <c r="M243" s="4">
        <v>-3.9002157803269086E-2</v>
      </c>
      <c r="N243" s="4">
        <v>2.4451095864164336E-2</v>
      </c>
    </row>
    <row r="244" spans="1:14">
      <c r="A244" s="8">
        <v>40144</v>
      </c>
      <c r="B244" s="4">
        <v>28</v>
      </c>
      <c r="C244" s="4">
        <v>15.6</v>
      </c>
      <c r="D244" s="4">
        <v>3.98</v>
      </c>
      <c r="E244" s="4">
        <v>10.199999999999999</v>
      </c>
      <c r="F244" s="4">
        <v>8.6</v>
      </c>
      <c r="G244" s="4">
        <v>21.1</v>
      </c>
      <c r="I244" s="4">
        <v>3.6367644170874791E-2</v>
      </c>
      <c r="J244" s="4">
        <v>-6.38979809877101E-3</v>
      </c>
      <c r="K244" s="4">
        <v>1.5190165493975238E-2</v>
      </c>
      <c r="L244" s="4">
        <v>-1.9418085857101738E-2</v>
      </c>
      <c r="M244" s="4">
        <v>-2.2989518224698833E-2</v>
      </c>
      <c r="N244" s="4">
        <v>1.9139340210697506E-2</v>
      </c>
    </row>
    <row r="245" spans="1:14">
      <c r="A245" s="8">
        <v>40147</v>
      </c>
      <c r="B245" s="4">
        <v>28.75</v>
      </c>
      <c r="C245" s="4">
        <v>15.8</v>
      </c>
      <c r="D245" s="4">
        <v>3.9</v>
      </c>
      <c r="E245" s="4">
        <v>10.7</v>
      </c>
      <c r="F245" s="4">
        <v>8.65</v>
      </c>
      <c r="G245" s="4">
        <v>21.9</v>
      </c>
      <c r="I245" s="4">
        <v>2.6433257068155431E-2</v>
      </c>
      <c r="J245" s="4">
        <v>1.2739025777429932E-2</v>
      </c>
      <c r="K245" s="4">
        <v>-2.0305266160745569E-2</v>
      </c>
      <c r="L245" s="4">
        <v>4.7856021177635141E-2</v>
      </c>
      <c r="M245" s="4">
        <v>5.7971176843259146E-3</v>
      </c>
      <c r="N245" s="4">
        <v>3.7213596340434273E-2</v>
      </c>
    </row>
  </sheetData>
  <dataConsolidate/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  <controls>
    <control shapeId="4099" r:id="rId3" name="PortOpt"/>
    <control shapeId="4098" r:id="rId4" name="Clear"/>
    <control shapeId="4097" r:id="rId5" name="CalRetur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M32"/>
  <sheetViews>
    <sheetView topLeftCell="A10" workbookViewId="0">
      <selection activeCell="L4" sqref="L4"/>
    </sheetView>
  </sheetViews>
  <sheetFormatPr defaultRowHeight="12.75"/>
  <cols>
    <col min="1" max="1" width="18.7109375" style="4" bestFit="1" customWidth="1"/>
    <col min="2" max="16384" width="9.140625" style="4"/>
  </cols>
  <sheetData>
    <row r="1" spans="1:11" ht="25.5">
      <c r="A1" s="3" t="s">
        <v>11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11">
      <c r="A2" s="5" t="s">
        <v>9</v>
      </c>
      <c r="B2" s="4">
        <v>6.0808599926073419E-3</v>
      </c>
      <c r="C2" s="4">
        <v>6.3238404502413536E-3</v>
      </c>
      <c r="D2" s="4">
        <v>5.4618009916624737E-3</v>
      </c>
      <c r="E2" s="4">
        <v>5.539769935069023E-3</v>
      </c>
      <c r="F2" s="4">
        <v>5.2636023998974945E-3</v>
      </c>
      <c r="G2" s="4">
        <v>4.8941285554774177E-3</v>
      </c>
      <c r="K2" s="18" t="s">
        <v>26</v>
      </c>
    </row>
    <row r="3" spans="1:11">
      <c r="A3" s="5" t="s">
        <v>10</v>
      </c>
      <c r="B3" s="4">
        <v>3.2806039906552661E-2</v>
      </c>
      <c r="C3" s="4">
        <v>3.5568418819438452E-2</v>
      </c>
      <c r="D3" s="4">
        <v>3.581908397105224E-2</v>
      </c>
      <c r="E3" s="4">
        <v>2.2163744675199392E-2</v>
      </c>
      <c r="F3" s="4">
        <v>4.0150279823980062E-2</v>
      </c>
      <c r="G3" s="4">
        <v>2.4288729476878376E-2</v>
      </c>
    </row>
    <row r="5" spans="1:11" ht="25.5">
      <c r="A5" s="3" t="s">
        <v>12</v>
      </c>
      <c r="B5" s="1" t="s">
        <v>3</v>
      </c>
      <c r="C5" s="1" t="s">
        <v>4</v>
      </c>
      <c r="D5" s="1" t="s">
        <v>5</v>
      </c>
      <c r="E5" s="1" t="s">
        <v>6</v>
      </c>
      <c r="F5" s="1" t="s">
        <v>7</v>
      </c>
      <c r="G5" s="1" t="s">
        <v>8</v>
      </c>
    </row>
    <row r="6" spans="1:11">
      <c r="A6" s="5" t="s">
        <v>3</v>
      </c>
      <c r="B6" s="4">
        <v>1.0717889971009441E-3</v>
      </c>
      <c r="C6" s="4">
        <v>3.5581249468976463E-4</v>
      </c>
      <c r="D6" s="4">
        <v>2.3417145731841556E-4</v>
      </c>
      <c r="E6" s="4">
        <v>2.1517722113443665E-4</v>
      </c>
      <c r="F6" s="4">
        <v>4.0755245852461123E-4</v>
      </c>
      <c r="G6" s="4">
        <v>4.6477258910594877E-4</v>
      </c>
    </row>
    <row r="7" spans="1:11">
      <c r="A7" s="5" t="s">
        <v>4</v>
      </c>
      <c r="B7" s="4">
        <v>3.5581249468976463E-4</v>
      </c>
      <c r="C7" s="4">
        <v>1.2598846800533508E-3</v>
      </c>
      <c r="D7" s="4">
        <v>3.3867843894079785E-4</v>
      </c>
      <c r="E7" s="4">
        <v>1.6534025817296463E-4</v>
      </c>
      <c r="F7" s="4">
        <v>4.7241101625910853E-4</v>
      </c>
      <c r="G7" s="4">
        <v>3.94977110008764E-4</v>
      </c>
    </row>
    <row r="8" spans="1:11">
      <c r="A8" s="5" t="s">
        <v>4</v>
      </c>
      <c r="B8" s="4">
        <v>2.3417145731841556E-4</v>
      </c>
      <c r="C8" s="4">
        <v>3.3867843894079785E-4</v>
      </c>
      <c r="D8" s="4">
        <v>1.2777050956305578E-3</v>
      </c>
      <c r="E8" s="4">
        <v>1.5278007235044211E-4</v>
      </c>
      <c r="F8" s="4">
        <v>3.5902653560663562E-4</v>
      </c>
      <c r="G8" s="4">
        <v>2.2674219365986412E-4</v>
      </c>
      <c r="K8" s="18" t="s">
        <v>27</v>
      </c>
    </row>
    <row r="9" spans="1:11">
      <c r="A9" s="5" t="s">
        <v>6</v>
      </c>
      <c r="B9" s="4">
        <v>2.1517722113443665E-4</v>
      </c>
      <c r="C9" s="4">
        <v>1.6534025817296463E-4</v>
      </c>
      <c r="D9" s="4">
        <v>1.5278007235044211E-4</v>
      </c>
      <c r="E9" s="4">
        <v>4.8920169547359677E-4</v>
      </c>
      <c r="F9" s="4">
        <v>2.3610760522972533E-4</v>
      </c>
      <c r="G9" s="4">
        <v>1.9476926083004795E-4</v>
      </c>
    </row>
    <row r="10" spans="1:11">
      <c r="A10" s="5" t="s">
        <v>7</v>
      </c>
      <c r="B10" s="4">
        <v>4.0755245852461123E-4</v>
      </c>
      <c r="C10" s="4">
        <v>4.7241101625910853E-4</v>
      </c>
      <c r="D10" s="4">
        <v>3.5902653560663562E-4</v>
      </c>
      <c r="E10" s="4">
        <v>2.3610760522972533E-4</v>
      </c>
      <c r="F10" s="4">
        <v>1.6053836270928919E-3</v>
      </c>
      <c r="G10" s="4">
        <v>3.2968126479369204E-4</v>
      </c>
    </row>
    <row r="11" spans="1:11">
      <c r="A11" s="5" t="s">
        <v>8</v>
      </c>
      <c r="B11" s="4">
        <v>4.6477258910594877E-4</v>
      </c>
      <c r="C11" s="4">
        <v>3.94977110008764E-4</v>
      </c>
      <c r="D11" s="4">
        <v>2.2674219365986412E-4</v>
      </c>
      <c r="E11" s="4">
        <v>1.9476926083004795E-4</v>
      </c>
      <c r="F11" s="4">
        <v>3.2968126479369204E-4</v>
      </c>
      <c r="G11" s="4">
        <v>5.8750460117287752E-4</v>
      </c>
    </row>
    <row r="13" spans="1:11" ht="25.5">
      <c r="A13" s="3" t="s">
        <v>13</v>
      </c>
      <c r="B13" s="1" t="s">
        <v>3</v>
      </c>
      <c r="C13" s="1" t="s">
        <v>4</v>
      </c>
      <c r="D13" s="1" t="s">
        <v>5</v>
      </c>
      <c r="E13" s="1" t="s">
        <v>6</v>
      </c>
      <c r="F13" s="1" t="s">
        <v>7</v>
      </c>
      <c r="G13" s="1" t="s">
        <v>8</v>
      </c>
    </row>
    <row r="14" spans="1:11">
      <c r="A14" s="5" t="s">
        <v>3</v>
      </c>
      <c r="B14" s="4">
        <v>0.99999999999999978</v>
      </c>
      <c r="C14" s="4">
        <v>0.3061971541761862</v>
      </c>
      <c r="D14" s="4">
        <v>0.20010779115855501</v>
      </c>
      <c r="E14" s="4">
        <v>0.29716500933716206</v>
      </c>
      <c r="F14" s="4">
        <v>0.31069871384689102</v>
      </c>
      <c r="G14" s="4">
        <v>0.58570674242863952</v>
      </c>
    </row>
    <row r="15" spans="1:11">
      <c r="A15" s="5" t="s">
        <v>4</v>
      </c>
      <c r="B15" s="4">
        <v>0.3061971541761862</v>
      </c>
      <c r="C15" s="4">
        <v>1</v>
      </c>
      <c r="D15" s="4">
        <v>0.26693580950224927</v>
      </c>
      <c r="E15" s="4">
        <v>0.21060527133551268</v>
      </c>
      <c r="F15" s="4">
        <v>0.33217366958571526</v>
      </c>
      <c r="G15" s="4">
        <v>0.45909323600259905</v>
      </c>
      <c r="K15" s="18" t="s">
        <v>28</v>
      </c>
    </row>
    <row r="16" spans="1:11">
      <c r="A16" s="5" t="s">
        <v>4</v>
      </c>
      <c r="B16" s="4">
        <v>0.20010779115855501</v>
      </c>
      <c r="C16" s="4">
        <v>0.26693580950224927</v>
      </c>
      <c r="D16" s="4">
        <v>1</v>
      </c>
      <c r="E16" s="4">
        <v>0.19324462415372315</v>
      </c>
      <c r="F16" s="4">
        <v>0.25068123193560482</v>
      </c>
      <c r="G16" s="4">
        <v>0.26170462297806124</v>
      </c>
    </row>
    <row r="17" spans="1:13">
      <c r="A17" s="5" t="s">
        <v>6</v>
      </c>
      <c r="B17" s="4">
        <v>0.29716500933716206</v>
      </c>
      <c r="C17" s="4">
        <v>0.21060527133551268</v>
      </c>
      <c r="D17" s="4">
        <v>0.19324462415372315</v>
      </c>
      <c r="E17" s="4">
        <v>0.99999999999999978</v>
      </c>
      <c r="F17" s="4">
        <v>0.26642598791666827</v>
      </c>
      <c r="G17" s="4">
        <v>0.36330452173431316</v>
      </c>
    </row>
    <row r="18" spans="1:13">
      <c r="A18" s="5" t="s">
        <v>7</v>
      </c>
      <c r="B18" s="4">
        <v>0.31069871384689102</v>
      </c>
      <c r="C18" s="4">
        <v>0.33217366958571526</v>
      </c>
      <c r="D18" s="4">
        <v>0.25068123193560482</v>
      </c>
      <c r="E18" s="4">
        <v>0.26642598791666827</v>
      </c>
      <c r="F18" s="4">
        <v>0.99999999999999989</v>
      </c>
      <c r="G18" s="4">
        <v>0.33946829321609079</v>
      </c>
    </row>
    <row r="19" spans="1:13">
      <c r="A19" s="5" t="s">
        <v>8</v>
      </c>
      <c r="B19" s="4">
        <v>0.58570674242863952</v>
      </c>
      <c r="C19" s="4">
        <v>0.45909323600259905</v>
      </c>
      <c r="D19" s="4">
        <v>0.26170462297806124</v>
      </c>
      <c r="E19" s="4">
        <v>0.36330452173431316</v>
      </c>
      <c r="F19" s="4">
        <v>0.33946829321609079</v>
      </c>
      <c r="G19" s="4">
        <v>1</v>
      </c>
    </row>
    <row r="21" spans="1:13" ht="25.5">
      <c r="A21" s="3" t="s">
        <v>14</v>
      </c>
      <c r="B21" s="1" t="s">
        <v>3</v>
      </c>
      <c r="C21" s="1" t="s">
        <v>4</v>
      </c>
      <c r="D21" s="1" t="s">
        <v>5</v>
      </c>
      <c r="E21" s="1" t="s">
        <v>6</v>
      </c>
      <c r="F21" s="1" t="s">
        <v>7</v>
      </c>
      <c r="G21" s="1" t="s">
        <v>8</v>
      </c>
    </row>
    <row r="22" spans="1:13">
      <c r="A22" s="5" t="s">
        <v>3</v>
      </c>
      <c r="B22" s="4">
        <v>0.99999999999999989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</row>
    <row r="23" spans="1:13">
      <c r="A23" s="5" t="s">
        <v>4</v>
      </c>
      <c r="B23" s="4">
        <v>0.30619715417618626</v>
      </c>
      <c r="C23" s="4">
        <v>0.9519681206712779</v>
      </c>
      <c r="D23" s="4">
        <v>0</v>
      </c>
      <c r="E23" s="4">
        <v>0</v>
      </c>
      <c r="F23" s="4">
        <v>0</v>
      </c>
      <c r="G23" s="4">
        <v>0</v>
      </c>
      <c r="K23" s="18" t="s">
        <v>29</v>
      </c>
    </row>
    <row r="24" spans="1:13">
      <c r="A24" s="5" t="s">
        <v>4</v>
      </c>
      <c r="B24" s="4">
        <v>0.20010779115855504</v>
      </c>
      <c r="C24" s="4">
        <v>0.2160401896399578</v>
      </c>
      <c r="D24" s="4">
        <v>0.95565867775999147</v>
      </c>
      <c r="E24" s="4">
        <v>0</v>
      </c>
      <c r="F24" s="4">
        <v>0</v>
      </c>
      <c r="G24" s="4">
        <v>0</v>
      </c>
    </row>
    <row r="25" spans="1:13">
      <c r="A25" s="5" t="s">
        <v>6</v>
      </c>
      <c r="B25" s="4">
        <v>0.29716500933716211</v>
      </c>
      <c r="C25" s="4">
        <v>0.12564936635839044</v>
      </c>
      <c r="D25" s="4">
        <v>0.11158196966242133</v>
      </c>
      <c r="E25" s="4">
        <v>0.93992268724913408</v>
      </c>
      <c r="F25" s="4">
        <v>0</v>
      </c>
      <c r="G25" s="4">
        <v>0</v>
      </c>
    </row>
    <row r="26" spans="1:13">
      <c r="A26" s="5" t="s">
        <v>7</v>
      </c>
      <c r="B26" s="4">
        <v>0.31069871384689107</v>
      </c>
      <c r="C26" s="4">
        <v>0.24899847216779572</v>
      </c>
      <c r="D26" s="4">
        <v>0.14096489110575725</v>
      </c>
      <c r="E26" s="4">
        <v>0.13520427050475975</v>
      </c>
      <c r="F26" s="4">
        <v>0.89627829092576417</v>
      </c>
      <c r="G26" s="4">
        <v>0</v>
      </c>
    </row>
    <row r="27" spans="1:13">
      <c r="A27" s="5" t="s">
        <v>8</v>
      </c>
      <c r="B27" s="4">
        <v>0.58570674242863963</v>
      </c>
      <c r="C27" s="4">
        <v>0.29386645646482257</v>
      </c>
      <c r="D27" s="4">
        <v>8.4772081691761494E-2</v>
      </c>
      <c r="E27" s="4">
        <v>0.15200165310772837</v>
      </c>
      <c r="F27" s="4">
        <v>5.7812962343424174E-2</v>
      </c>
      <c r="G27" s="4">
        <v>0.73277347839675577</v>
      </c>
    </row>
    <row r="29" spans="1:13">
      <c r="M29" s="18" t="s">
        <v>30</v>
      </c>
    </row>
    <row r="32" spans="1:13">
      <c r="M32" s="18" t="s">
        <v>31</v>
      </c>
    </row>
  </sheetData>
  <phoneticPr fontId="0" type="noConversion"/>
  <pageMargins left="0.75" right="0.75" top="1" bottom="1" header="0.5" footer="0.5"/>
  <pageSetup orientation="portrait" horizontalDpi="4294967295" verticalDpi="4294967295" r:id="rId1"/>
  <headerFooter alignWithMargins="0"/>
  <legacyDrawing r:id="rId2"/>
  <controls>
    <control shapeId="3078" r:id="rId3" name="CalCorrRandNum"/>
    <control shapeId="3077" r:id="rId4" name="CalChol"/>
    <control shapeId="3076" r:id="rId5" name="CalCorr"/>
    <control shapeId="3075" r:id="rId6" name="CalCov"/>
    <control shapeId="3074" r:id="rId7" name="CalDStat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31.887277153533159</v>
      </c>
      <c r="C2" s="9">
        <v>31.462196714895494</v>
      </c>
      <c r="D2" s="9">
        <v>30.579719632193729</v>
      </c>
      <c r="E2" s="9">
        <v>33.16989027314898</v>
      </c>
      <c r="F2" s="9">
        <v>31.109231812153862</v>
      </c>
      <c r="G2" s="9">
        <v>29.195504108180348</v>
      </c>
      <c r="H2" s="9">
        <v>31.450535171031017</v>
      </c>
      <c r="I2" s="9">
        <v>32.400271486109503</v>
      </c>
      <c r="J2" s="29">
        <v>34.699112822304244</v>
      </c>
      <c r="K2" s="9">
        <v>35.440934141950095</v>
      </c>
      <c r="L2" s="9">
        <v>37.904546709056611</v>
      </c>
      <c r="M2" s="9">
        <v>41.599162782205497</v>
      </c>
      <c r="N2" s="9">
        <v>44.531503869106793</v>
      </c>
      <c r="O2" s="9">
        <v>48.080593603564118</v>
      </c>
      <c r="P2" s="9">
        <v>50.082477023442856</v>
      </c>
    </row>
    <row r="3" spans="1:16">
      <c r="A3" s="26">
        <v>2</v>
      </c>
      <c r="B3" s="9">
        <v>28.936043959691123</v>
      </c>
      <c r="C3" s="9">
        <v>25.90556048511451</v>
      </c>
      <c r="D3" s="9">
        <v>22.71239736487216</v>
      </c>
      <c r="E3" s="9">
        <v>23.185501665719443</v>
      </c>
      <c r="F3" s="9">
        <v>25.696302244579496</v>
      </c>
      <c r="G3" s="9">
        <v>26.486266240659514</v>
      </c>
      <c r="H3" s="9">
        <v>26.361008350340935</v>
      </c>
      <c r="I3" s="9">
        <v>29.175476231962918</v>
      </c>
      <c r="J3" s="29">
        <v>27.181306950204807</v>
      </c>
      <c r="K3" s="9">
        <v>23.351705618524992</v>
      </c>
      <c r="L3" s="9">
        <v>25.131657460916909</v>
      </c>
      <c r="M3" s="9">
        <v>24.908120054087007</v>
      </c>
      <c r="N3" s="9">
        <v>26.445124793706249</v>
      </c>
      <c r="O3" s="9">
        <v>26.162933827173269</v>
      </c>
      <c r="P3" s="9">
        <v>29.45293820472784</v>
      </c>
    </row>
    <row r="4" spans="1:16">
      <c r="A4" s="26">
        <v>3</v>
      </c>
      <c r="B4" s="9">
        <v>25.176938842420768</v>
      </c>
      <c r="C4" s="9">
        <v>27.528864766993138</v>
      </c>
      <c r="D4" s="9">
        <v>30.515529547937398</v>
      </c>
      <c r="E4" s="9">
        <v>37.173746825174888</v>
      </c>
      <c r="F4" s="9">
        <v>39.744777230586486</v>
      </c>
      <c r="G4" s="9">
        <v>40.074706637987617</v>
      </c>
      <c r="H4" s="9">
        <v>41.398234828762355</v>
      </c>
      <c r="I4" s="9">
        <v>51.658610986164014</v>
      </c>
      <c r="J4" s="29">
        <v>57.120804641863366</v>
      </c>
      <c r="K4" s="9">
        <v>61.393829744280275</v>
      </c>
      <c r="L4" s="9">
        <v>68.846820859383428</v>
      </c>
      <c r="M4" s="9">
        <v>68.788399741276521</v>
      </c>
      <c r="N4" s="9">
        <v>71.596964631705006</v>
      </c>
      <c r="O4" s="9">
        <v>71.396503433315601</v>
      </c>
      <c r="P4" s="9">
        <v>63.758612327913077</v>
      </c>
    </row>
    <row r="5" spans="1:16">
      <c r="A5" s="26">
        <v>4</v>
      </c>
      <c r="B5" s="9">
        <v>28.445844730192604</v>
      </c>
      <c r="C5" s="9">
        <v>30.345664540440428</v>
      </c>
      <c r="D5" s="9">
        <v>27.014675725609308</v>
      </c>
      <c r="E5" s="9">
        <v>23.452468900473875</v>
      </c>
      <c r="F5" s="9">
        <v>17.799530864344174</v>
      </c>
      <c r="G5" s="9">
        <v>13.880057576815382</v>
      </c>
      <c r="H5" s="9">
        <v>11.540423659356614</v>
      </c>
      <c r="I5" s="9">
        <v>11.248040762493735</v>
      </c>
      <c r="J5" s="29">
        <v>11.111989382094819</v>
      </c>
      <c r="K5" s="9">
        <v>11.384755695078939</v>
      </c>
      <c r="L5" s="9">
        <v>11.346637227206957</v>
      </c>
      <c r="M5" s="9">
        <v>10.963978334511662</v>
      </c>
      <c r="N5" s="9">
        <v>12.001219616306075</v>
      </c>
      <c r="O5" s="9">
        <v>13.963237705520275</v>
      </c>
      <c r="P5" s="9">
        <v>12.976039988429743</v>
      </c>
    </row>
    <row r="6" spans="1:16">
      <c r="A6" s="26">
        <v>5</v>
      </c>
      <c r="B6" s="9">
        <v>32.560113974507651</v>
      </c>
      <c r="C6" s="9">
        <v>31.344416404689902</v>
      </c>
      <c r="D6" s="9">
        <v>29.40852719920133</v>
      </c>
      <c r="E6" s="9">
        <v>30.246800912614621</v>
      </c>
      <c r="F6" s="9">
        <v>28.194602455218046</v>
      </c>
      <c r="G6" s="9">
        <v>29.211587199930051</v>
      </c>
      <c r="H6" s="9">
        <v>31.988820634040053</v>
      </c>
      <c r="I6" s="9">
        <v>33.269507682798732</v>
      </c>
      <c r="J6" s="29">
        <v>35.543154156170587</v>
      </c>
      <c r="K6" s="9">
        <v>38.294195582172286</v>
      </c>
      <c r="L6" s="9">
        <v>40.583345213712263</v>
      </c>
      <c r="M6" s="9">
        <v>41.340754920932305</v>
      </c>
      <c r="N6" s="9">
        <v>37.940632668945966</v>
      </c>
      <c r="O6" s="9">
        <v>37.223142094434856</v>
      </c>
      <c r="P6" s="9">
        <v>38.115013767813181</v>
      </c>
    </row>
    <row r="7" spans="1:16">
      <c r="A7" s="26">
        <v>6</v>
      </c>
      <c r="B7" s="9">
        <v>29.782622490855044</v>
      </c>
      <c r="C7" s="9">
        <v>30.58115392528196</v>
      </c>
      <c r="D7" s="9">
        <v>29.978673025784776</v>
      </c>
      <c r="E7" s="9">
        <v>31.221573180861807</v>
      </c>
      <c r="F7" s="9">
        <v>33.442779627666376</v>
      </c>
      <c r="G7" s="9">
        <v>32.733810374796107</v>
      </c>
      <c r="H7" s="9">
        <v>31.463821120504708</v>
      </c>
      <c r="I7" s="9">
        <v>31.942733041037265</v>
      </c>
      <c r="J7" s="29">
        <v>33.130831515131113</v>
      </c>
      <c r="K7" s="9">
        <v>31.327226452698344</v>
      </c>
      <c r="L7" s="9">
        <v>36.797644407692616</v>
      </c>
      <c r="M7" s="9">
        <v>36.255130526960443</v>
      </c>
      <c r="N7" s="9">
        <v>36.910085766276893</v>
      </c>
      <c r="O7" s="9">
        <v>35.398498772126032</v>
      </c>
      <c r="P7" s="9">
        <v>33.806131504385526</v>
      </c>
    </row>
    <row r="8" spans="1:16">
      <c r="A8" s="26">
        <v>7</v>
      </c>
      <c r="B8" s="9">
        <v>26.307458347712871</v>
      </c>
      <c r="C8" s="9">
        <v>22.084784261508418</v>
      </c>
      <c r="D8" s="9">
        <v>21.519593594894225</v>
      </c>
      <c r="E8" s="9">
        <v>21.870228753771336</v>
      </c>
      <c r="F8" s="9">
        <v>23.647382231979584</v>
      </c>
      <c r="G8" s="9">
        <v>23.293876323780342</v>
      </c>
      <c r="H8" s="9">
        <v>22.400144104805378</v>
      </c>
      <c r="I8" s="9">
        <v>24.149893520575038</v>
      </c>
      <c r="J8" s="29">
        <v>24.433235853136377</v>
      </c>
      <c r="K8" s="9">
        <v>27.23588352515835</v>
      </c>
      <c r="L8" s="9">
        <v>26.48335063960976</v>
      </c>
      <c r="M8" s="9">
        <v>26.061767746595699</v>
      </c>
      <c r="N8" s="9">
        <v>25.86348926699803</v>
      </c>
      <c r="O8" s="9">
        <v>23.12223804050582</v>
      </c>
      <c r="P8" s="9">
        <v>24.478833456387648</v>
      </c>
    </row>
    <row r="9" spans="1:16">
      <c r="A9" s="26">
        <v>8</v>
      </c>
      <c r="B9" s="9">
        <v>24.278227880655731</v>
      </c>
      <c r="C9" s="9">
        <v>23.609300770196004</v>
      </c>
      <c r="D9" s="9">
        <v>23.328462624796689</v>
      </c>
      <c r="E9" s="9">
        <v>21.340909207542335</v>
      </c>
      <c r="F9" s="9">
        <v>24.592407317774466</v>
      </c>
      <c r="G9" s="9">
        <v>28.584621131988623</v>
      </c>
      <c r="H9" s="9">
        <v>28.639567954927561</v>
      </c>
      <c r="I9" s="9">
        <v>30.334088543419266</v>
      </c>
      <c r="J9" s="29">
        <v>31.704112587329593</v>
      </c>
      <c r="K9" s="9">
        <v>30.884032382622205</v>
      </c>
      <c r="L9" s="9">
        <v>29.718859133239892</v>
      </c>
      <c r="M9" s="9">
        <v>27.893633484425877</v>
      </c>
      <c r="N9" s="9">
        <v>31.810333207693937</v>
      </c>
      <c r="O9" s="9">
        <v>32.732821355354723</v>
      </c>
      <c r="P9" s="9">
        <v>30.838293116241147</v>
      </c>
    </row>
    <row r="10" spans="1:16">
      <c r="A10" s="26">
        <v>9</v>
      </c>
      <c r="B10" s="9">
        <v>31.387469397939689</v>
      </c>
      <c r="C10" s="9">
        <v>29.349375546519635</v>
      </c>
      <c r="D10" s="9">
        <v>35.262266470661558</v>
      </c>
      <c r="E10" s="9">
        <v>33.130101709047551</v>
      </c>
      <c r="F10" s="9">
        <v>33.140911182120448</v>
      </c>
      <c r="G10" s="9">
        <v>30.266919185490075</v>
      </c>
      <c r="H10" s="9">
        <v>27.080937258472218</v>
      </c>
      <c r="I10" s="9">
        <v>27.931571532815045</v>
      </c>
      <c r="J10" s="29">
        <v>28.042502061047479</v>
      </c>
      <c r="K10" s="9">
        <v>27.845272605446244</v>
      </c>
      <c r="L10" s="9">
        <v>29.562686916335768</v>
      </c>
      <c r="M10" s="9">
        <v>26.038537291990455</v>
      </c>
      <c r="N10" s="9">
        <v>27.807304305907429</v>
      </c>
      <c r="O10" s="9">
        <v>24.417403161275089</v>
      </c>
      <c r="P10" s="9">
        <v>27.413465931456827</v>
      </c>
    </row>
    <row r="11" spans="1:16">
      <c r="A11" s="26">
        <v>10</v>
      </c>
      <c r="B11" s="9">
        <v>24.549204754229105</v>
      </c>
      <c r="C11" s="9">
        <v>21.104764046396625</v>
      </c>
      <c r="D11" s="9">
        <v>18.001591874319445</v>
      </c>
      <c r="E11" s="9">
        <v>17.433825232938837</v>
      </c>
      <c r="F11" s="9">
        <v>19.519236908687091</v>
      </c>
      <c r="G11" s="9">
        <v>17.220017576944549</v>
      </c>
      <c r="H11" s="9">
        <v>18.540409673037015</v>
      </c>
      <c r="I11" s="9">
        <v>19.901812857585561</v>
      </c>
      <c r="J11" s="29">
        <v>18.662312528607213</v>
      </c>
      <c r="K11" s="9">
        <v>18.95552901550473</v>
      </c>
      <c r="L11" s="9">
        <v>19.169624479280749</v>
      </c>
      <c r="M11" s="9">
        <v>19.627846853367245</v>
      </c>
      <c r="N11" s="9">
        <v>19.192188885391079</v>
      </c>
      <c r="O11" s="9">
        <v>19.927455456101079</v>
      </c>
      <c r="P11" s="9">
        <v>18.908325510136503</v>
      </c>
    </row>
    <row r="12" spans="1:16">
      <c r="A12" s="26">
        <v>11</v>
      </c>
      <c r="B12" s="9">
        <v>30.878882748179159</v>
      </c>
      <c r="C12" s="9">
        <v>31.41350293784004</v>
      </c>
      <c r="D12" s="9">
        <v>35.21080646737672</v>
      </c>
      <c r="E12" s="9">
        <v>32.024069927076887</v>
      </c>
      <c r="F12" s="9">
        <v>34.318751415294884</v>
      </c>
      <c r="G12" s="9">
        <v>40.818391584169824</v>
      </c>
      <c r="H12" s="9">
        <v>39.758060766708041</v>
      </c>
      <c r="I12" s="9">
        <v>49.624905751667349</v>
      </c>
      <c r="J12" s="29">
        <v>51.704865151898808</v>
      </c>
      <c r="K12" s="9">
        <v>50.475058913527285</v>
      </c>
      <c r="L12" s="9">
        <v>46.337711645652249</v>
      </c>
      <c r="M12" s="9">
        <v>39.963983111617814</v>
      </c>
      <c r="N12" s="9">
        <v>38.909805573410679</v>
      </c>
      <c r="O12" s="9">
        <v>36.517906194692038</v>
      </c>
      <c r="P12" s="9">
        <v>35.076349187596691</v>
      </c>
    </row>
    <row r="13" spans="1:16">
      <c r="A13" s="26">
        <v>12</v>
      </c>
      <c r="B13" s="9">
        <v>32.312342056720496</v>
      </c>
      <c r="C13" s="9">
        <v>31.850667593218326</v>
      </c>
      <c r="D13" s="9">
        <v>33.494454592755226</v>
      </c>
      <c r="E13" s="9">
        <v>36.080084864042007</v>
      </c>
      <c r="F13" s="9">
        <v>34.088209164185507</v>
      </c>
      <c r="G13" s="9">
        <v>35.181875797946248</v>
      </c>
      <c r="H13" s="9">
        <v>32.150883993391666</v>
      </c>
      <c r="I13" s="9">
        <v>33.699896051171933</v>
      </c>
      <c r="J13" s="29">
        <v>39.149938851613207</v>
      </c>
      <c r="K13" s="9">
        <v>45.438277003703156</v>
      </c>
      <c r="L13" s="9">
        <v>47.596672392488387</v>
      </c>
      <c r="M13" s="9">
        <v>42.536382905034223</v>
      </c>
      <c r="N13" s="9">
        <v>40.740023243333574</v>
      </c>
      <c r="O13" s="9">
        <v>50.051292173283116</v>
      </c>
      <c r="P13" s="9">
        <v>46.774777574179893</v>
      </c>
    </row>
    <row r="14" spans="1:16">
      <c r="A14" s="26">
        <v>13</v>
      </c>
      <c r="B14" s="9">
        <v>26.674238701451348</v>
      </c>
      <c r="C14" s="9">
        <v>25.734123375167496</v>
      </c>
      <c r="D14" s="9">
        <v>28.147384534701455</v>
      </c>
      <c r="E14" s="9">
        <v>27.752347084779029</v>
      </c>
      <c r="F14" s="9">
        <v>25.774332115196188</v>
      </c>
      <c r="G14" s="9">
        <v>24.860401026830434</v>
      </c>
      <c r="H14" s="9">
        <v>28.561028335564512</v>
      </c>
      <c r="I14" s="9">
        <v>26.950808721682773</v>
      </c>
      <c r="J14" s="29">
        <v>30.469617159178664</v>
      </c>
      <c r="K14" s="9">
        <v>32.521606217213197</v>
      </c>
      <c r="L14" s="9">
        <v>33.243798326291483</v>
      </c>
      <c r="M14" s="9">
        <v>32.216044931647723</v>
      </c>
      <c r="N14" s="9">
        <v>32.70202306946549</v>
      </c>
      <c r="O14" s="9">
        <v>36.287605256338622</v>
      </c>
      <c r="P14" s="9">
        <v>31.904698011786113</v>
      </c>
    </row>
    <row r="15" spans="1:16">
      <c r="A15" s="26">
        <v>14</v>
      </c>
      <c r="B15" s="9">
        <v>27.539352118953449</v>
      </c>
      <c r="C15" s="9">
        <v>24.422740237909498</v>
      </c>
      <c r="D15" s="9">
        <v>25.875460501942133</v>
      </c>
      <c r="E15" s="9">
        <v>27.145202643405817</v>
      </c>
      <c r="F15" s="9">
        <v>25.12300110931201</v>
      </c>
      <c r="G15" s="9">
        <v>23.716923471116793</v>
      </c>
      <c r="H15" s="9">
        <v>21.07713500540088</v>
      </c>
      <c r="I15" s="9">
        <v>21.930427601458813</v>
      </c>
      <c r="J15" s="29">
        <v>21.849042197168284</v>
      </c>
      <c r="K15" s="9">
        <v>22.804822786635977</v>
      </c>
      <c r="L15" s="9">
        <v>22.412394030322652</v>
      </c>
      <c r="M15" s="9">
        <v>21.758409182913876</v>
      </c>
      <c r="N15" s="9">
        <v>22.223260227808012</v>
      </c>
      <c r="O15" s="9">
        <v>22.818631632132934</v>
      </c>
      <c r="P15" s="9">
        <v>24.181141037904055</v>
      </c>
    </row>
    <row r="16" spans="1:16">
      <c r="A16" s="26">
        <v>15</v>
      </c>
      <c r="B16" s="9">
        <v>27.241137074978329</v>
      </c>
      <c r="C16" s="9">
        <v>27.622196823350016</v>
      </c>
      <c r="D16" s="9">
        <v>26.716228629232621</v>
      </c>
      <c r="E16" s="9">
        <v>27.275256569496179</v>
      </c>
      <c r="F16" s="9">
        <v>31.205775155673301</v>
      </c>
      <c r="G16" s="9">
        <v>31.988903861722228</v>
      </c>
      <c r="H16" s="9">
        <v>30.188192209635165</v>
      </c>
      <c r="I16" s="9">
        <v>29.367473537872549</v>
      </c>
      <c r="J16" s="29">
        <v>31.032800262780857</v>
      </c>
      <c r="K16" s="9">
        <v>28.467405349269225</v>
      </c>
      <c r="L16" s="9">
        <v>29.142563309262002</v>
      </c>
      <c r="M16" s="9">
        <v>27.729058575507938</v>
      </c>
      <c r="N16" s="9">
        <v>26.804376166946142</v>
      </c>
      <c r="O16" s="9">
        <v>27.028425930326168</v>
      </c>
      <c r="P16" s="9">
        <v>25.30382200544992</v>
      </c>
    </row>
    <row r="17" spans="1:16">
      <c r="A17" s="26">
        <v>16</v>
      </c>
      <c r="B17" s="9">
        <v>33.215782842219703</v>
      </c>
      <c r="C17" s="9">
        <v>32.612523876005326</v>
      </c>
      <c r="D17" s="9">
        <v>29.017563902282443</v>
      </c>
      <c r="E17" s="9">
        <v>27.503729958692698</v>
      </c>
      <c r="F17" s="9">
        <v>31.602862609501148</v>
      </c>
      <c r="G17" s="9">
        <v>32.981952666264753</v>
      </c>
      <c r="H17" s="9">
        <v>32.577104028359706</v>
      </c>
      <c r="I17" s="9">
        <v>35.773448171230882</v>
      </c>
      <c r="J17" s="29">
        <v>37.370153474875742</v>
      </c>
      <c r="K17" s="9">
        <v>37.168775704215705</v>
      </c>
      <c r="L17" s="9">
        <v>37.426882328607903</v>
      </c>
      <c r="M17" s="9">
        <v>33.822483024714309</v>
      </c>
      <c r="N17" s="9">
        <v>40.240150353844925</v>
      </c>
      <c r="O17" s="9">
        <v>45.348908494847855</v>
      </c>
      <c r="P17" s="9">
        <v>49.114722120404217</v>
      </c>
    </row>
    <row r="18" spans="1:16">
      <c r="A18" s="26">
        <v>17</v>
      </c>
      <c r="B18" s="9">
        <v>31.664151572968382</v>
      </c>
      <c r="C18" s="9">
        <v>34.355878015931943</v>
      </c>
      <c r="D18" s="9">
        <v>37.058319107885133</v>
      </c>
      <c r="E18" s="9">
        <v>41.367823883362696</v>
      </c>
      <c r="F18" s="9">
        <v>44.778610282737318</v>
      </c>
      <c r="G18" s="9">
        <v>47.81872194766315</v>
      </c>
      <c r="H18" s="9">
        <v>49.281416143609476</v>
      </c>
      <c r="I18" s="9">
        <v>47.024743084760786</v>
      </c>
      <c r="J18" s="29">
        <v>45.587329758238909</v>
      </c>
      <c r="K18" s="9">
        <v>53.299424419137424</v>
      </c>
      <c r="L18" s="9">
        <v>67.638449180563455</v>
      </c>
      <c r="M18" s="9">
        <v>66.979319477481738</v>
      </c>
      <c r="N18" s="9">
        <v>80.396345452264285</v>
      </c>
      <c r="O18" s="9">
        <v>97.675665341282567</v>
      </c>
      <c r="P18" s="9">
        <v>99.850461360297032</v>
      </c>
    </row>
    <row r="19" spans="1:16">
      <c r="A19" s="26">
        <v>18</v>
      </c>
      <c r="B19" s="9">
        <v>26.116541360852356</v>
      </c>
      <c r="C19" s="9">
        <v>26.671046305235322</v>
      </c>
      <c r="D19" s="9">
        <v>28.279967524530495</v>
      </c>
      <c r="E19" s="9">
        <v>31.667818116112834</v>
      </c>
      <c r="F19" s="9">
        <v>31.821372782271368</v>
      </c>
      <c r="G19" s="9">
        <v>31.748961605466491</v>
      </c>
      <c r="H19" s="9">
        <v>33.955260248396627</v>
      </c>
      <c r="I19" s="9">
        <v>31.884309942779897</v>
      </c>
      <c r="J19" s="29">
        <v>33.20349219826096</v>
      </c>
      <c r="K19" s="9">
        <v>30.469666334975734</v>
      </c>
      <c r="L19" s="9">
        <v>31.792365510548013</v>
      </c>
      <c r="M19" s="9">
        <v>34.84040693107314</v>
      </c>
      <c r="N19" s="9">
        <v>31.028653613958245</v>
      </c>
      <c r="O19" s="9">
        <v>35.482568798583983</v>
      </c>
      <c r="P19" s="9">
        <v>36.10659966798287</v>
      </c>
    </row>
    <row r="20" spans="1:16">
      <c r="A20" s="26">
        <v>19</v>
      </c>
      <c r="B20" s="9">
        <v>28.868570777937062</v>
      </c>
      <c r="C20" s="9">
        <v>28.814638303951796</v>
      </c>
      <c r="D20" s="9">
        <v>33.45654776704253</v>
      </c>
      <c r="E20" s="9">
        <v>32.654887657867377</v>
      </c>
      <c r="F20" s="9">
        <v>34.56700842150849</v>
      </c>
      <c r="G20" s="9">
        <v>35.342289659191223</v>
      </c>
      <c r="H20" s="9">
        <v>34.355240050969613</v>
      </c>
      <c r="I20" s="9">
        <v>37.52425940190804</v>
      </c>
      <c r="J20" s="29">
        <v>42.287971949639314</v>
      </c>
      <c r="K20" s="9">
        <v>43.729428112367358</v>
      </c>
      <c r="L20" s="9">
        <v>43.446777339822155</v>
      </c>
      <c r="M20" s="9">
        <v>46.263654223450764</v>
      </c>
      <c r="N20" s="9">
        <v>47.300964286845186</v>
      </c>
      <c r="O20" s="9">
        <v>49.985097447413906</v>
      </c>
      <c r="P20" s="9">
        <v>56.113355958639865</v>
      </c>
    </row>
    <row r="21" spans="1:16">
      <c r="A21" s="26">
        <v>20</v>
      </c>
      <c r="B21" s="9">
        <v>27.080965654661863</v>
      </c>
      <c r="C21" s="9">
        <v>28.128453828532923</v>
      </c>
      <c r="D21" s="9">
        <v>28.905679482353136</v>
      </c>
      <c r="E21" s="9">
        <v>32.043088188224552</v>
      </c>
      <c r="F21" s="9">
        <v>32.435049210489971</v>
      </c>
      <c r="G21" s="9">
        <v>37.338543340844623</v>
      </c>
      <c r="H21" s="9">
        <v>42.004915901568033</v>
      </c>
      <c r="I21" s="9">
        <v>38.433369214791192</v>
      </c>
      <c r="J21" s="29">
        <v>32.447258051460899</v>
      </c>
      <c r="K21" s="9">
        <v>32.404474015363114</v>
      </c>
      <c r="L21" s="9">
        <v>30.091469845792048</v>
      </c>
      <c r="M21" s="9">
        <v>27.096351243009732</v>
      </c>
      <c r="N21" s="9">
        <v>24.410058964166293</v>
      </c>
      <c r="O21" s="9">
        <v>28.29785871887746</v>
      </c>
      <c r="P21" s="9">
        <v>28.295672726669604</v>
      </c>
    </row>
    <row r="22" spans="1:16">
      <c r="A22" s="26">
        <v>21</v>
      </c>
      <c r="B22" s="9">
        <v>26.698523357624989</v>
      </c>
      <c r="C22" s="9">
        <v>24.902873364752192</v>
      </c>
      <c r="D22" s="9">
        <v>24.428375444099412</v>
      </c>
      <c r="E22" s="9">
        <v>23.161057118033199</v>
      </c>
      <c r="F22" s="9">
        <v>22.517707412414808</v>
      </c>
      <c r="G22" s="9">
        <v>22.448775891864461</v>
      </c>
      <c r="H22" s="9">
        <v>26.368784898411096</v>
      </c>
      <c r="I22" s="9">
        <v>26.347805290195922</v>
      </c>
      <c r="J22" s="29">
        <v>28.113508854724618</v>
      </c>
      <c r="K22" s="9">
        <v>30.683944937655582</v>
      </c>
      <c r="L22" s="9">
        <v>30.092956392492415</v>
      </c>
      <c r="M22" s="9">
        <v>29.901547823980248</v>
      </c>
      <c r="N22" s="9">
        <v>27.848787578409805</v>
      </c>
      <c r="O22" s="9">
        <v>25.666104916122684</v>
      </c>
      <c r="P22" s="9">
        <v>26.485213889224173</v>
      </c>
    </row>
    <row r="23" spans="1:16">
      <c r="A23" s="26">
        <v>22</v>
      </c>
      <c r="B23" s="9">
        <v>30.860688794086141</v>
      </c>
      <c r="C23" s="9">
        <v>28.983192872884114</v>
      </c>
      <c r="D23" s="9">
        <v>30.781178975390137</v>
      </c>
      <c r="E23" s="9">
        <v>30.198887145286601</v>
      </c>
      <c r="F23" s="9">
        <v>26.571882596857606</v>
      </c>
      <c r="G23" s="9">
        <v>33.101609927929324</v>
      </c>
      <c r="H23" s="9">
        <v>34.021886497157723</v>
      </c>
      <c r="I23" s="9">
        <v>34.821984133291224</v>
      </c>
      <c r="J23" s="29">
        <v>32.833861944779301</v>
      </c>
      <c r="K23" s="9">
        <v>28.05427097049235</v>
      </c>
      <c r="L23" s="9">
        <v>27.931197369984549</v>
      </c>
      <c r="M23" s="9">
        <v>24.512385502224738</v>
      </c>
      <c r="N23" s="9">
        <v>26.765677626568024</v>
      </c>
      <c r="O23" s="9">
        <v>28.221937520797471</v>
      </c>
      <c r="P23" s="9">
        <v>28.253339898896019</v>
      </c>
    </row>
    <row r="24" spans="1:16">
      <c r="A24" s="26">
        <v>23</v>
      </c>
      <c r="B24" s="9">
        <v>31.734618120391467</v>
      </c>
      <c r="C24" s="9">
        <v>30.33509615149503</v>
      </c>
      <c r="D24" s="9">
        <v>32.227408357477479</v>
      </c>
      <c r="E24" s="9">
        <v>30.639042041959783</v>
      </c>
      <c r="F24" s="9">
        <v>31.322891015880277</v>
      </c>
      <c r="G24" s="9">
        <v>29.879085299733578</v>
      </c>
      <c r="H24" s="9">
        <v>29.365044705632755</v>
      </c>
      <c r="I24" s="9">
        <v>27.05538024131512</v>
      </c>
      <c r="J24" s="29">
        <v>33.361790300330242</v>
      </c>
      <c r="K24" s="9">
        <v>35.8773589374645</v>
      </c>
      <c r="L24" s="9">
        <v>35.282368909410124</v>
      </c>
      <c r="M24" s="9">
        <v>35.417430298663518</v>
      </c>
      <c r="N24" s="9">
        <v>35.204035472683401</v>
      </c>
      <c r="O24" s="9">
        <v>37.043545529389533</v>
      </c>
      <c r="P24" s="9">
        <v>34.728232279337597</v>
      </c>
    </row>
    <row r="25" spans="1:16">
      <c r="A25" s="26">
        <v>24</v>
      </c>
      <c r="B25" s="9">
        <v>28.988928798303288</v>
      </c>
      <c r="C25" s="9">
        <v>26.488460062959746</v>
      </c>
      <c r="D25" s="9">
        <v>23.573812181759877</v>
      </c>
      <c r="E25" s="9">
        <v>22.196886975001135</v>
      </c>
      <c r="F25" s="9">
        <v>22.485005382898937</v>
      </c>
      <c r="G25" s="9">
        <v>21.207983942834815</v>
      </c>
      <c r="H25" s="9">
        <v>20.365425026729749</v>
      </c>
      <c r="I25" s="9">
        <v>18.584336123049194</v>
      </c>
      <c r="J25" s="29">
        <v>18.813839071879212</v>
      </c>
      <c r="K25" s="9">
        <v>20.860293293737779</v>
      </c>
      <c r="L25" s="9">
        <v>21.292447102660507</v>
      </c>
      <c r="M25" s="9">
        <v>23.123803009926551</v>
      </c>
      <c r="N25" s="9">
        <v>23.051742701478368</v>
      </c>
      <c r="O25" s="9">
        <v>22.141603616011629</v>
      </c>
      <c r="P25" s="9">
        <v>22.087724026197865</v>
      </c>
    </row>
    <row r="26" spans="1:16">
      <c r="A26" s="26">
        <v>25</v>
      </c>
      <c r="B26" s="9">
        <v>28.865272810009547</v>
      </c>
      <c r="C26" s="9">
        <v>26.151661071638397</v>
      </c>
      <c r="D26" s="9">
        <v>27.252519859147604</v>
      </c>
      <c r="E26" s="9">
        <v>25.944924762340857</v>
      </c>
      <c r="F26" s="9">
        <v>29.057367949787984</v>
      </c>
      <c r="G26" s="9">
        <v>30.017630590735706</v>
      </c>
      <c r="H26" s="9">
        <v>29.302093183571554</v>
      </c>
      <c r="I26" s="9">
        <v>31.170186296649042</v>
      </c>
      <c r="J26" s="29">
        <v>28.783248846512389</v>
      </c>
      <c r="K26" s="9">
        <v>27.807480170879487</v>
      </c>
      <c r="L26" s="9">
        <v>29.65405023726143</v>
      </c>
      <c r="M26" s="9">
        <v>31.450916113173854</v>
      </c>
      <c r="N26" s="9">
        <v>31.337137368842352</v>
      </c>
      <c r="O26" s="9">
        <v>31.001625718112233</v>
      </c>
      <c r="P26" s="9">
        <v>26.851782259882174</v>
      </c>
    </row>
    <row r="27" spans="1:16">
      <c r="A27" s="26">
        <v>26</v>
      </c>
      <c r="B27" s="9">
        <v>29.724285193924274</v>
      </c>
      <c r="C27" s="9">
        <v>29.717971911219294</v>
      </c>
      <c r="D27" s="9">
        <v>40.519331127013089</v>
      </c>
      <c r="E27" s="9">
        <v>38.676935955032974</v>
      </c>
      <c r="F27" s="9">
        <v>33.964350586794147</v>
      </c>
      <c r="G27" s="9">
        <v>35.033157450861637</v>
      </c>
      <c r="H27" s="9">
        <v>37.623978442065024</v>
      </c>
      <c r="I27" s="9">
        <v>36.03879720212047</v>
      </c>
      <c r="J27" s="29">
        <v>35.55309689881684</v>
      </c>
      <c r="K27" s="9">
        <v>37.456569141252821</v>
      </c>
      <c r="L27" s="9">
        <v>33.738715541061161</v>
      </c>
      <c r="M27" s="9">
        <v>32.470157548853003</v>
      </c>
      <c r="N27" s="9">
        <v>31.106689230729121</v>
      </c>
      <c r="O27" s="9">
        <v>28.67976097553748</v>
      </c>
      <c r="P27" s="9">
        <v>27.11204844271116</v>
      </c>
    </row>
    <row r="28" spans="1:16">
      <c r="A28" s="26">
        <v>27</v>
      </c>
      <c r="B28" s="9">
        <v>26.85874671755947</v>
      </c>
      <c r="C28" s="9">
        <v>28.393131213115787</v>
      </c>
      <c r="D28" s="9">
        <v>33.734213339254602</v>
      </c>
      <c r="E28" s="9">
        <v>29.364097423901018</v>
      </c>
      <c r="F28" s="9">
        <v>23.726693082790753</v>
      </c>
      <c r="G28" s="9">
        <v>23.178590009474799</v>
      </c>
      <c r="H28" s="9">
        <v>26.604902017241201</v>
      </c>
      <c r="I28" s="9">
        <v>28.338036738785718</v>
      </c>
      <c r="J28" s="29">
        <v>27.7754363431931</v>
      </c>
      <c r="K28" s="9">
        <v>27.906215884950928</v>
      </c>
      <c r="L28" s="9">
        <v>28.181416305180548</v>
      </c>
      <c r="M28" s="9">
        <v>29.921490348209495</v>
      </c>
      <c r="N28" s="9">
        <v>30.09359697057447</v>
      </c>
      <c r="O28" s="9">
        <v>32.703501172373741</v>
      </c>
      <c r="P28" s="9">
        <v>27.142296262479572</v>
      </c>
    </row>
    <row r="29" spans="1:16">
      <c r="A29" s="26">
        <v>28</v>
      </c>
      <c r="B29" s="9">
        <v>35.774379645777628</v>
      </c>
      <c r="C29" s="9">
        <v>36.09933026260191</v>
      </c>
      <c r="D29" s="9">
        <v>36.279191562866757</v>
      </c>
      <c r="E29" s="9">
        <v>38.819809204211936</v>
      </c>
      <c r="F29" s="9">
        <v>36.388129806806511</v>
      </c>
      <c r="G29" s="9">
        <v>35.087594095042761</v>
      </c>
      <c r="H29" s="9">
        <v>37.722841737605115</v>
      </c>
      <c r="I29" s="9">
        <v>37.855876309353206</v>
      </c>
      <c r="J29" s="29">
        <v>40.653692074049189</v>
      </c>
      <c r="K29" s="9">
        <v>43.784280401871875</v>
      </c>
      <c r="L29" s="9">
        <v>41.404625770260019</v>
      </c>
      <c r="M29" s="9">
        <v>40.660954927042617</v>
      </c>
      <c r="N29" s="9">
        <v>37.783987255803432</v>
      </c>
      <c r="O29" s="9">
        <v>40.205941804949198</v>
      </c>
      <c r="P29" s="9">
        <v>34.85134820465646</v>
      </c>
    </row>
    <row r="30" spans="1:16">
      <c r="A30" s="26">
        <v>29</v>
      </c>
      <c r="B30" s="9">
        <v>30.518496013928619</v>
      </c>
      <c r="C30" s="9">
        <v>28.766296555718355</v>
      </c>
      <c r="D30" s="9">
        <v>27.52099815288036</v>
      </c>
      <c r="E30" s="9">
        <v>25.994599378214144</v>
      </c>
      <c r="F30" s="9">
        <v>23.977488579915782</v>
      </c>
      <c r="G30" s="9">
        <v>24.129822072726029</v>
      </c>
      <c r="H30" s="9">
        <v>28.257446419019246</v>
      </c>
      <c r="I30" s="9">
        <v>29.238200109178564</v>
      </c>
      <c r="J30" s="29">
        <v>28.757257247994673</v>
      </c>
      <c r="K30" s="9">
        <v>29.583225685410223</v>
      </c>
      <c r="L30" s="9">
        <v>32.867904153187013</v>
      </c>
      <c r="M30" s="9">
        <v>31.645741276830545</v>
      </c>
      <c r="N30" s="9">
        <v>35.329633234423284</v>
      </c>
      <c r="O30" s="9">
        <v>30.099896443309145</v>
      </c>
      <c r="P30" s="9">
        <v>30.892134512766283</v>
      </c>
    </row>
    <row r="31" spans="1:16">
      <c r="A31" s="26">
        <v>30</v>
      </c>
      <c r="B31" s="9">
        <v>26.219533230455191</v>
      </c>
      <c r="C31" s="9">
        <v>27.327067843905258</v>
      </c>
      <c r="D31" s="9">
        <v>29.137964918946814</v>
      </c>
      <c r="E31" s="9">
        <v>33.28253364680662</v>
      </c>
      <c r="F31" s="9">
        <v>33.730821686749174</v>
      </c>
      <c r="G31" s="9">
        <v>36.69088855352755</v>
      </c>
      <c r="H31" s="9">
        <v>34.44622098753878</v>
      </c>
      <c r="I31" s="9">
        <v>28.536152102208526</v>
      </c>
      <c r="J31" s="29">
        <v>25.510720414879987</v>
      </c>
      <c r="K31" s="9">
        <v>22.198574759774761</v>
      </c>
      <c r="L31" s="9">
        <v>22.461070047074834</v>
      </c>
      <c r="M31" s="9">
        <v>24.133143614888461</v>
      </c>
      <c r="N31" s="9">
        <v>24.156449285228707</v>
      </c>
      <c r="O31" s="9">
        <v>26.718795547034468</v>
      </c>
      <c r="P31" s="9">
        <v>31.969955114621513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/>
  <dimension ref="A1:W32"/>
  <sheetViews>
    <sheetView tabSelected="1" workbookViewId="0">
      <selection activeCell="H2" sqref="H2:M2"/>
    </sheetView>
  </sheetViews>
  <sheetFormatPr defaultRowHeight="12.75"/>
  <cols>
    <col min="22" max="22" width="16" bestFit="1" customWidth="1"/>
    <col min="23" max="23" width="12" bestFit="1" customWidth="1"/>
  </cols>
  <sheetData>
    <row r="1" spans="1:23">
      <c r="A1" s="39" t="s">
        <v>44</v>
      </c>
      <c r="B1" s="40"/>
      <c r="C1" s="40"/>
      <c r="D1" s="40"/>
      <c r="E1" s="40"/>
      <c r="F1" s="40"/>
      <c r="O1" s="41" t="s">
        <v>45</v>
      </c>
      <c r="P1" s="42"/>
      <c r="Q1" s="42"/>
      <c r="R1" s="42"/>
      <c r="S1" s="42"/>
      <c r="T1" s="42"/>
      <c r="V1" s="43" t="s">
        <v>46</v>
      </c>
      <c r="W1" s="43" t="s">
        <v>47</v>
      </c>
    </row>
    <row r="2" spans="1:23">
      <c r="A2">
        <v>0.39877782186887645</v>
      </c>
      <c r="B2">
        <v>1.6921591646994241</v>
      </c>
      <c r="C2">
        <v>0.20755228905815526</v>
      </c>
      <c r="D2">
        <v>0.93457028436965905</v>
      </c>
      <c r="E2">
        <v>0.96755747518248136</v>
      </c>
      <c r="F2">
        <v>0.34682862743857523</v>
      </c>
      <c r="O2">
        <f t="array" ref="O2:T31">MMULT(MatZ,TRANSPOSE(cholRange))</f>
        <v>0.39877782186887639</v>
      </c>
      <c r="P2">
        <v>1.7329862141004184</v>
      </c>
      <c r="Q2">
        <v>0.64372208206723291</v>
      </c>
      <c r="R2">
        <v>1.2327044483101144</v>
      </c>
      <c r="S2">
        <v>1.5680610426286754</v>
      </c>
      <c r="T2">
        <v>1.2005707278907605</v>
      </c>
      <c r="V2">
        <f>SCIB!O2</f>
        <v>48.080593603564118</v>
      </c>
      <c r="W2">
        <f>V2*EXP((SCIB_MUE-((SCIB_SIGMA^2)/2))+SCIB_SIGMA*O2)</f>
        <v>48.984489114665855</v>
      </c>
    </row>
    <row r="3" spans="1:23">
      <c r="A3">
        <v>1.277364832411815</v>
      </c>
      <c r="B3">
        <v>-1.5503719578072963</v>
      </c>
      <c r="C3">
        <v>1.06498833525422</v>
      </c>
      <c r="D3">
        <v>-0.96550213832597076</v>
      </c>
      <c r="E3">
        <v>1.0194681301650514</v>
      </c>
      <c r="F3">
        <v>-0.93304783868674335</v>
      </c>
      <c r="O3">
        <v>1.2773648324118148</v>
      </c>
      <c r="P3">
        <v>-1.0847792024860228</v>
      </c>
      <c r="Q3">
        <v>0.93843334763924746</v>
      </c>
      <c r="R3">
        <v>-0.60387899005264711</v>
      </c>
      <c r="S3">
        <v>0.94414846754027049</v>
      </c>
      <c r="T3">
        <v>-0.38869199915158742</v>
      </c>
    </row>
    <row r="4" spans="1:23">
      <c r="A4">
        <v>-1.3428090690617807</v>
      </c>
      <c r="B4">
        <v>-0.52554013717610215</v>
      </c>
      <c r="C4">
        <v>0.67681234666786239</v>
      </c>
      <c r="D4">
        <v>0.194618877818305</v>
      </c>
      <c r="E4">
        <v>-0.5139969150257131</v>
      </c>
      <c r="F4">
        <v>2.0934352876934712</v>
      </c>
      <c r="O4">
        <v>-1.3428090690617804</v>
      </c>
      <c r="P4">
        <v>-0.91146177227355074</v>
      </c>
      <c r="Q4">
        <v>0.26455724465168323</v>
      </c>
      <c r="R4">
        <v>-0.20662290141641107</v>
      </c>
      <c r="S4">
        <v>-0.88703193631055477</v>
      </c>
      <c r="T4">
        <v>0.65032441257892681</v>
      </c>
    </row>
    <row r="5" spans="1:23">
      <c r="A5">
        <v>-0.89228701413762201</v>
      </c>
      <c r="B5">
        <v>1.0369991326784329</v>
      </c>
      <c r="C5">
        <v>-0.37446055884479335</v>
      </c>
      <c r="D5">
        <v>1.9641588687115781</v>
      </c>
      <c r="E5">
        <v>1.1832319745215774</v>
      </c>
      <c r="F5">
        <v>-0.76262822256283958</v>
      </c>
      <c r="O5">
        <v>-0.8922870141376219</v>
      </c>
      <c r="P5">
        <v>0.71397437103632655</v>
      </c>
      <c r="Q5">
        <v>-0.31237657673710417</v>
      </c>
      <c r="R5">
        <v>1.669516240394423</v>
      </c>
      <c r="S5">
        <v>1.2542607789929796</v>
      </c>
      <c r="T5">
        <v>-0.44149525574334247</v>
      </c>
    </row>
    <row r="6" spans="1:23">
      <c r="A6">
        <v>0.20514575029438642</v>
      </c>
      <c r="B6">
        <v>0.20897009574330189</v>
      </c>
      <c r="C6">
        <v>-0.32083462407005858</v>
      </c>
      <c r="D6">
        <v>-1.3777754937510158</v>
      </c>
      <c r="E6">
        <v>2.1083201692588407</v>
      </c>
      <c r="F6">
        <v>0.54269854718200827</v>
      </c>
      <c r="O6">
        <v>0.20514575029438639</v>
      </c>
      <c r="P6">
        <v>0.26174791425272775</v>
      </c>
      <c r="Q6">
        <v>-0.22041119054797886</v>
      </c>
      <c r="R6">
        <v>-1.2435827048823884</v>
      </c>
      <c r="S6">
        <v>1.7739058049671594</v>
      </c>
      <c r="T6">
        <v>0.46450591574118849</v>
      </c>
    </row>
    <row r="7" spans="1:23">
      <c r="A7">
        <v>-0.58346816724440975</v>
      </c>
      <c r="B7">
        <v>0.43913534627699724</v>
      </c>
      <c r="C7">
        <v>0.71018585385972477</v>
      </c>
      <c r="D7">
        <v>-0.56665289335908509</v>
      </c>
      <c r="E7">
        <v>-1.2121485485758123</v>
      </c>
      <c r="F7">
        <v>-1.4472083003292191</v>
      </c>
      <c r="O7">
        <v>-0.58346816724440964</v>
      </c>
      <c r="P7">
        <v>0.23938655795301056</v>
      </c>
      <c r="Q7">
        <v>0.6568096313921169</v>
      </c>
      <c r="R7">
        <v>-0.57157521922535648</v>
      </c>
      <c r="S7">
        <v>-1.1348638278231087</v>
      </c>
      <c r="T7">
        <v>-1.3691760933281345</v>
      </c>
    </row>
    <row r="8" spans="1:23">
      <c r="A8">
        <v>0.58230073996814569</v>
      </c>
      <c r="B8">
        <v>-0.70051499746874568</v>
      </c>
      <c r="C8">
        <v>-0.13768097178691557</v>
      </c>
      <c r="D8">
        <v>0.7888955797331707</v>
      </c>
      <c r="E8">
        <v>0.28228796068819162</v>
      </c>
      <c r="F8">
        <v>-0.82568025539229861</v>
      </c>
      <c r="O8">
        <v>0.58230073996814558</v>
      </c>
      <c r="P8">
        <v>-0.48856911618943322</v>
      </c>
      <c r="Q8">
        <v>-0.16639249348435903</v>
      </c>
      <c r="R8">
        <v>0.811158278517918</v>
      </c>
      <c r="S8">
        <v>0.34675536600135803</v>
      </c>
      <c r="T8">
        <v>-0.34527515037104323</v>
      </c>
    </row>
    <row r="9" spans="1:23">
      <c r="A9">
        <v>-0.73726400239273215</v>
      </c>
      <c r="B9">
        <v>1.8017639248850874</v>
      </c>
      <c r="C9">
        <v>-0.53836460763056748</v>
      </c>
      <c r="D9">
        <v>1.3641150259979655</v>
      </c>
      <c r="E9">
        <v>1.2060901657990586</v>
      </c>
      <c r="F9">
        <v>-1.6423360866793622</v>
      </c>
      <c r="O9">
        <v>-0.73726400239273204</v>
      </c>
      <c r="P9">
        <v>1.4894736780569626</v>
      </c>
      <c r="Q9">
        <v>-0.272771660081921</v>
      </c>
      <c r="R9">
        <v>1.2293923089712029</v>
      </c>
      <c r="S9">
        <v>1.4091055883839561</v>
      </c>
      <c r="T9">
        <v>-0.8743657482708822</v>
      </c>
    </row>
    <row r="10" spans="1:23">
      <c r="A10">
        <v>1.246684814071473</v>
      </c>
      <c r="B10">
        <v>0.43580851010807653</v>
      </c>
      <c r="C10">
        <v>0.60315665323217926</v>
      </c>
      <c r="D10">
        <v>0.96754077386422255</v>
      </c>
      <c r="E10">
        <v>-0.15581165525746438</v>
      </c>
      <c r="F10">
        <v>2.2569529338273195</v>
      </c>
      <c r="O10">
        <v>1.2466848140714728</v>
      </c>
      <c r="P10">
        <v>0.79660715056348819</v>
      </c>
      <c r="Q10">
        <v>0.92003538729521872</v>
      </c>
      <c r="R10">
        <v>1.4019450991389291</v>
      </c>
      <c r="S10">
        <v>0.57204797385512718</v>
      </c>
      <c r="T10">
        <v>2.7012871645452927</v>
      </c>
    </row>
    <row r="11" spans="1:23">
      <c r="A11">
        <v>-0.65665489122672649</v>
      </c>
      <c r="B11">
        <v>-0.30932055840022599</v>
      </c>
      <c r="C11">
        <v>-0.18850682685551778</v>
      </c>
      <c r="D11">
        <v>0.23708040480900466</v>
      </c>
      <c r="E11">
        <v>0.22489149677384063</v>
      </c>
      <c r="F11">
        <v>-0.88832971085031409</v>
      </c>
      <c r="O11">
        <v>-0.65665489122672638</v>
      </c>
      <c r="P11">
        <v>-0.49552916963475019</v>
      </c>
      <c r="Q11">
        <v>-0.37837561683463972</v>
      </c>
      <c r="R11">
        <v>-3.2197500900454729E-2</v>
      </c>
      <c r="S11">
        <v>-7.3995371362170187E-2</v>
      </c>
      <c r="T11">
        <v>-1.0933924448728924</v>
      </c>
    </row>
    <row r="12" spans="1:23">
      <c r="A12">
        <v>-0.51839685451235629</v>
      </c>
      <c r="B12">
        <v>-8.2441627056206251E-2</v>
      </c>
      <c r="C12">
        <v>9.3816178976221881E-2</v>
      </c>
      <c r="D12">
        <v>-0.14461978292411026</v>
      </c>
      <c r="E12">
        <v>1.3009646235295547</v>
      </c>
      <c r="F12">
        <v>-0.70646455580130829</v>
      </c>
      <c r="O12">
        <v>-0.51839685451235618</v>
      </c>
      <c r="P12">
        <v>-0.23721344235934899</v>
      </c>
      <c r="Q12">
        <v>-3.188970869054901E-2</v>
      </c>
      <c r="R12">
        <v>-0.28987136527173396</v>
      </c>
      <c r="S12">
        <v>0.97810484939519404</v>
      </c>
      <c r="T12">
        <v>-0.78435068616655423</v>
      </c>
    </row>
    <row r="13" spans="1:23">
      <c r="A13">
        <v>-0.82871337282024604</v>
      </c>
      <c r="B13">
        <v>-4.3242505111908094E-2</v>
      </c>
      <c r="C13">
        <v>-2.1419503765452639</v>
      </c>
      <c r="D13">
        <v>-0.1405012805286957</v>
      </c>
      <c r="E13">
        <v>-1.3012373532698565</v>
      </c>
      <c r="F13">
        <v>-1.4896581124495474</v>
      </c>
      <c r="O13">
        <v>-0.82871337282024593</v>
      </c>
      <c r="P13">
        <v>-0.2949151627098095</v>
      </c>
      <c r="Q13">
        <v>-2.2221475862202618</v>
      </c>
      <c r="R13">
        <v>-0.62276139362958194</v>
      </c>
      <c r="S13">
        <v>-1.7554544625885202</v>
      </c>
      <c r="T13">
        <v>-1.8678348937378517</v>
      </c>
    </row>
    <row r="14" spans="1:23">
      <c r="A14">
        <v>-1.5190564094047119</v>
      </c>
      <c r="B14">
        <v>0.76927769981847161</v>
      </c>
      <c r="C14">
        <v>0.92319122798511577</v>
      </c>
      <c r="D14">
        <v>2.1118110556586798</v>
      </c>
      <c r="E14">
        <v>0.82451396537488075</v>
      </c>
      <c r="F14">
        <v>0.8834414042687182</v>
      </c>
      <c r="O14">
        <v>-1.5190564094047116</v>
      </c>
      <c r="P14">
        <v>0.26719709657769536</v>
      </c>
      <c r="Q14">
        <v>0.74447558567922922</v>
      </c>
      <c r="R14">
        <v>1.7331994614421895</v>
      </c>
      <c r="S14">
        <v>0.87423749114218852</v>
      </c>
      <c r="T14">
        <v>0.43063296987000066</v>
      </c>
    </row>
    <row r="15" spans="1:23">
      <c r="A15">
        <v>0.59340721876586366</v>
      </c>
      <c r="B15">
        <v>-0.53048239558762256</v>
      </c>
      <c r="C15">
        <v>0.29322360304898343</v>
      </c>
      <c r="D15">
        <v>-0.93687829889053376</v>
      </c>
      <c r="E15">
        <v>0.84927403291072023</v>
      </c>
      <c r="F15">
        <v>-0.42595550806195914</v>
      </c>
      <c r="O15">
        <v>0.59340721876586355</v>
      </c>
      <c r="P15">
        <v>-0.32330272752303346</v>
      </c>
      <c r="Q15">
        <v>0.28436157123918143</v>
      </c>
      <c r="R15">
        <v>-0.73818961630343893</v>
      </c>
      <c r="S15">
        <v>0.72813171870983873</v>
      </c>
      <c r="T15">
        <v>-0.18890809933271197</v>
      </c>
    </row>
    <row r="16" spans="1:23">
      <c r="A16">
        <v>-0.80868222804198675</v>
      </c>
      <c r="B16">
        <v>-0.82236030649069125</v>
      </c>
      <c r="C16">
        <v>0.80513146008535985</v>
      </c>
      <c r="D16">
        <v>1.1016304317881862</v>
      </c>
      <c r="E16">
        <v>0.41407646706454782</v>
      </c>
      <c r="F16">
        <v>-0.87399764468816832</v>
      </c>
      <c r="O16">
        <v>-0.80868222804198664</v>
      </c>
      <c r="P16">
        <v>-1.0304769923439134</v>
      </c>
      <c r="Q16">
        <v>0.42994437559886267</v>
      </c>
      <c r="R16">
        <v>0.78164447667954029</v>
      </c>
      <c r="S16">
        <v>0.17754516765460282</v>
      </c>
      <c r="T16">
        <v>-1.096115733010623</v>
      </c>
    </row>
    <row r="17" spans="1:20">
      <c r="A17">
        <v>0.83978470628865232</v>
      </c>
      <c r="B17">
        <v>-1.8975764888719495</v>
      </c>
      <c r="C17">
        <v>-1.7301425332854805</v>
      </c>
      <c r="D17">
        <v>1.5114432611409359</v>
      </c>
      <c r="E17">
        <v>1.1989400872033529</v>
      </c>
      <c r="F17">
        <v>-0.58135523300058223</v>
      </c>
      <c r="O17">
        <v>0.83978470628865221</v>
      </c>
      <c r="P17">
        <v>-1.5492926367551623</v>
      </c>
      <c r="Q17">
        <v>-1.8953310475839875</v>
      </c>
      <c r="R17">
        <v>1.2387124466175914</v>
      </c>
      <c r="S17">
        <v>0.82347458361240422</v>
      </c>
      <c r="T17">
        <v>-0.33937984204863481</v>
      </c>
    </row>
    <row r="18" spans="1:20">
      <c r="A18">
        <v>0.18640618726656483</v>
      </c>
      <c r="B18">
        <v>-1.2382522467556276</v>
      </c>
      <c r="C18">
        <v>0.37864191814876036</v>
      </c>
      <c r="D18">
        <v>-2.5526065674363274E-2</v>
      </c>
      <c r="E18">
        <v>3.3226614457903814E-3</v>
      </c>
      <c r="F18">
        <v>-0.74727351429164668</v>
      </c>
      <c r="O18">
        <v>0.1864061872665648</v>
      </c>
      <c r="P18">
        <v>-1.121699620199087</v>
      </c>
      <c r="Q18">
        <v>0.13164151502356189</v>
      </c>
      <c r="R18">
        <v>-8.1935131036873832E-2</v>
      </c>
      <c r="S18">
        <v>-0.19750474197015316</v>
      </c>
      <c r="T18">
        <v>-0.77387329929405868</v>
      </c>
    </row>
    <row r="19" spans="1:20">
      <c r="A19">
        <v>0.1345092622061328</v>
      </c>
      <c r="B19">
        <v>0.41448133572173251</v>
      </c>
      <c r="C19">
        <v>0.47086114465181927</v>
      </c>
      <c r="D19">
        <v>1.8333436620750447</v>
      </c>
      <c r="E19">
        <v>0.58884581593241636</v>
      </c>
      <c r="F19">
        <v>-0.92190092348389951</v>
      </c>
      <c r="O19">
        <v>0.13450926220613277</v>
      </c>
      <c r="P19">
        <v>0.43575937151819499</v>
      </c>
      <c r="Q19">
        <v>0.5664435166284959</v>
      </c>
      <c r="R19">
        <v>1.8677916788267319</v>
      </c>
      <c r="S19">
        <v>0.98701757802456858</v>
      </c>
      <c r="T19">
        <v>-0.12232933549342528</v>
      </c>
    </row>
    <row r="20" spans="1:20">
      <c r="A20">
        <v>1.2456747422081396</v>
      </c>
      <c r="B20">
        <v>-0.46698923656518088</v>
      </c>
      <c r="C20">
        <v>-0.78747447189563635</v>
      </c>
      <c r="D20">
        <v>0.83054863601768703</v>
      </c>
      <c r="E20">
        <v>-1.7996933608104406</v>
      </c>
      <c r="F20">
        <v>0.35366873585305392</v>
      </c>
      <c r="O20">
        <v>1.2456747422081393</v>
      </c>
      <c r="P20">
        <v>-6.313680481338324E-2</v>
      </c>
      <c r="Q20">
        <v>-0.60417603464361891</v>
      </c>
      <c r="R20">
        <v>1.0042775979526026</v>
      </c>
      <c r="S20">
        <v>-1.3409886864933727</v>
      </c>
      <c r="T20">
        <v>0.80697000390006746</v>
      </c>
    </row>
    <row r="21" spans="1:20">
      <c r="A21">
        <v>-6.3607642567432648E-2</v>
      </c>
      <c r="B21">
        <v>-0.45566637684175848</v>
      </c>
      <c r="C21">
        <v>-1.0611653794466367</v>
      </c>
      <c r="D21">
        <v>-9.6509450305994837E-2</v>
      </c>
      <c r="E21">
        <v>0.26268761092868342</v>
      </c>
      <c r="F21">
        <v>-0.64754188762745279</v>
      </c>
      <c r="O21">
        <v>-6.3607642567432635E-2</v>
      </c>
      <c r="P21">
        <v>-0.45325634355314304</v>
      </c>
      <c r="Q21">
        <v>-1.1252825387270702</v>
      </c>
      <c r="R21">
        <v>-0.28527450227123041</v>
      </c>
      <c r="S21">
        <v>-6.0417393402166591E-2</v>
      </c>
      <c r="T21">
        <v>-0.73510205528200268</v>
      </c>
    </row>
    <row r="22" spans="1:20">
      <c r="A22">
        <v>0.29268788901078235</v>
      </c>
      <c r="B22">
        <v>0.13025212773490902</v>
      </c>
      <c r="C22">
        <v>-0.12660292762492897</v>
      </c>
      <c r="D22">
        <v>-0.88280281338918232</v>
      </c>
      <c r="E22">
        <v>-1.5566767648334214</v>
      </c>
      <c r="F22">
        <v>0.21287727688354602</v>
      </c>
      <c r="O22">
        <v>0.2926878890107823</v>
      </c>
      <c r="P22">
        <v>0.2136160719301736</v>
      </c>
      <c r="Q22">
        <v>-3.4280365068917795E-2</v>
      </c>
      <c r="R22">
        <v>-0.74055030011378775</v>
      </c>
      <c r="S22">
        <v>-1.4090505371220903</v>
      </c>
      <c r="T22">
        <v>0.13078084798632328</v>
      </c>
    </row>
    <row r="23" spans="1:20">
      <c r="A23">
        <v>-5.0152039647349697E-2</v>
      </c>
      <c r="B23">
        <v>0.22177796656628912</v>
      </c>
      <c r="C23">
        <v>-0.85614089385523373</v>
      </c>
      <c r="D23">
        <v>-0.57856898197058926</v>
      </c>
      <c r="E23">
        <v>-1.0304059305615301</v>
      </c>
      <c r="F23">
        <v>-4.0135432877723504E-2</v>
      </c>
      <c r="O23">
        <v>-5.015203964734969E-2</v>
      </c>
      <c r="P23">
        <v>0.195769142222258</v>
      </c>
      <c r="Q23">
        <v>-0.78030133451893202</v>
      </c>
      <c r="R23">
        <v>-0.62637716989648096</v>
      </c>
      <c r="S23">
        <v>-1.082801070800707</v>
      </c>
      <c r="T23">
        <v>-0.21370257011989416</v>
      </c>
    </row>
    <row r="24" spans="1:20">
      <c r="A24">
        <v>-0.79292787082684346</v>
      </c>
      <c r="B24">
        <v>-2.2538809550481353</v>
      </c>
      <c r="C24">
        <v>-1.004434031282929</v>
      </c>
      <c r="D24">
        <v>1.118426367327424</v>
      </c>
      <c r="E24">
        <v>0.47770315980755296</v>
      </c>
      <c r="F24">
        <v>1.0045240988128485</v>
      </c>
      <c r="O24">
        <v>-0.79292787082684335</v>
      </c>
      <c r="P24">
        <v>-2.3884150745081203</v>
      </c>
      <c r="Q24">
        <v>-1.6054960119666859</v>
      </c>
      <c r="R24">
        <v>0.42032845707516708</v>
      </c>
      <c r="S24">
        <v>-0.36979352498710327</v>
      </c>
      <c r="T24">
        <v>-0.27820246398752879</v>
      </c>
    </row>
    <row r="25" spans="1:20">
      <c r="A25">
        <v>-9.0297863325526362E-2</v>
      </c>
      <c r="B25">
        <v>-1.4046031403931218</v>
      </c>
      <c r="C25">
        <v>-1.2353902623392576</v>
      </c>
      <c r="D25">
        <v>-0.12645729019327118</v>
      </c>
      <c r="E25">
        <v>-1.2624852382432064</v>
      </c>
      <c r="F25">
        <v>8.0135697427675068E-2</v>
      </c>
      <c r="O25">
        <v>-9.0297863325526348E-2</v>
      </c>
      <c r="P25">
        <v>-1.3647863606274817</v>
      </c>
      <c r="Q25">
        <v>-1.5021314594205224</v>
      </c>
      <c r="R25">
        <v>-0.46002821476794969</v>
      </c>
      <c r="S25">
        <v>-1.7005817970843222</v>
      </c>
      <c r="T25">
        <v>-0.6038688341703361</v>
      </c>
    </row>
    <row r="26" spans="1:20">
      <c r="A26">
        <v>-1.6885852577340819</v>
      </c>
      <c r="B26">
        <v>-1.7431247744789511</v>
      </c>
      <c r="C26">
        <v>-0.15941258368399835</v>
      </c>
      <c r="D26">
        <v>1.1128459248063498</v>
      </c>
      <c r="E26">
        <v>-4.3768765053766992E-2</v>
      </c>
      <c r="F26">
        <v>-0.36797587761572281</v>
      </c>
      <c r="O26">
        <v>-1.6885852577340816</v>
      </c>
      <c r="P26">
        <v>-2.1764392161583102</v>
      </c>
      <c r="Q26">
        <v>-0.86682809189436161</v>
      </c>
      <c r="R26">
        <v>0.30739058478376102</v>
      </c>
      <c r="S26">
        <v>-0.86991572343247914</v>
      </c>
      <c r="T26">
        <v>-1.6177943533870607</v>
      </c>
    </row>
    <row r="27" spans="1:20">
      <c r="A27">
        <v>-0.69871142986157553</v>
      </c>
      <c r="B27">
        <v>-1.2650431885156372</v>
      </c>
      <c r="C27">
        <v>1.0252400620414606</v>
      </c>
      <c r="D27">
        <v>0.17039275302125328</v>
      </c>
      <c r="E27">
        <v>-0.34049974462056387</v>
      </c>
      <c r="F27">
        <v>0.36219988776504031</v>
      </c>
      <c r="O27">
        <v>-0.69871142986157542</v>
      </c>
      <c r="P27">
        <v>-1.4182242381532206</v>
      </c>
      <c r="Q27">
        <v>0.56666179084062307</v>
      </c>
      <c r="R27">
        <v>-9.2030143824861049E-2</v>
      </c>
      <c r="S27">
        <v>-0.66970441136949188</v>
      </c>
      <c r="T27">
        <v>-0.42245686741726945</v>
      </c>
    </row>
    <row r="28" spans="1:20">
      <c r="A28">
        <v>-2.1714668327782816</v>
      </c>
      <c r="B28">
        <v>0.74386062714633505</v>
      </c>
      <c r="C28">
        <v>0.29418810053554656</v>
      </c>
      <c r="D28">
        <v>-0.53860451164720513</v>
      </c>
      <c r="E28">
        <v>0.98078426834201493</v>
      </c>
      <c r="F28">
        <v>-0.84667612533548153</v>
      </c>
      <c r="O28">
        <v>-2.1714668327782811</v>
      </c>
      <c r="P28">
        <v>4.3234638681168391E-2</v>
      </c>
      <c r="Q28">
        <v>7.319770643590684E-3</v>
      </c>
      <c r="R28">
        <v>-1.0252388574209497</v>
      </c>
      <c r="S28">
        <v>0.35825241882504888</v>
      </c>
      <c r="T28">
        <v>-1.6738966822304095</v>
      </c>
    </row>
    <row r="29" spans="1:20">
      <c r="A29">
        <v>-1.6797099474064678</v>
      </c>
      <c r="B29">
        <v>-1.0937996793969194</v>
      </c>
      <c r="C29">
        <v>0.66494617730776451</v>
      </c>
      <c r="D29">
        <v>0.15900298141503516</v>
      </c>
      <c r="E29">
        <v>-7.7034850192955629E-3</v>
      </c>
      <c r="F29">
        <v>-0.74420802910195283</v>
      </c>
      <c r="O29">
        <v>-1.6797099474064676</v>
      </c>
      <c r="P29">
        <v>-1.5555848309236235</v>
      </c>
      <c r="Q29">
        <v>6.303384705990267E-2</v>
      </c>
      <c r="R29">
        <v>-0.41293974508825854</v>
      </c>
      <c r="S29">
        <v>-0.68591068812406253</v>
      </c>
      <c r="T29">
        <v>-1.77049215712482</v>
      </c>
    </row>
    <row r="30" spans="1:20">
      <c r="A30">
        <v>0.23119280790907981</v>
      </c>
      <c r="B30">
        <v>-1.2045662669382646</v>
      </c>
      <c r="C30">
        <v>0.61889998079617459</v>
      </c>
      <c r="D30">
        <v>0.24112512976862238</v>
      </c>
      <c r="E30">
        <v>2.4879412269569841</v>
      </c>
      <c r="F30">
        <v>-0.76395197318893659</v>
      </c>
      <c r="O30">
        <v>0.23119280790907978</v>
      </c>
      <c r="P30">
        <v>-1.0759181055134748</v>
      </c>
      <c r="Q30">
        <v>0.37748589469254773</v>
      </c>
      <c r="R30">
        <v>0.21304648356019332</v>
      </c>
      <c r="S30">
        <v>2.1216281744652838</v>
      </c>
      <c r="T30">
        <v>-0.54542206824212658</v>
      </c>
    </row>
    <row r="31" spans="1:20">
      <c r="A31">
        <v>1.9672613404314903</v>
      </c>
      <c r="B31">
        <v>-0.25545672772092676</v>
      </c>
      <c r="C31">
        <v>0.19631765489040642</v>
      </c>
      <c r="D31">
        <v>-0.18308895503958661</v>
      </c>
      <c r="E31">
        <v>-2.3783664265888227</v>
      </c>
      <c r="F31">
        <v>-0.18293398663353705</v>
      </c>
      <c r="O31">
        <v>1.96726134043149</v>
      </c>
      <c r="P31">
        <v>0.35918316295962682</v>
      </c>
      <c r="Q31">
        <v>0.52608807205723973</v>
      </c>
      <c r="R31">
        <v>0.40231930661357446</v>
      </c>
      <c r="S31">
        <v>-1.5811414744128096</v>
      </c>
      <c r="T31">
        <v>0.79443091793891374</v>
      </c>
    </row>
    <row r="32" spans="1:20">
      <c r="A32">
        <v>0.10327359884755227</v>
      </c>
      <c r="B32">
        <v>-0.47595806769546301</v>
      </c>
      <c r="C32">
        <v>2.0932575488156067</v>
      </c>
      <c r="D32">
        <v>1.3898085507591231</v>
      </c>
      <c r="E32">
        <v>1.4761085609447213</v>
      </c>
      <c r="F32">
        <v>-0.36321088989697248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15.216529866779011</v>
      </c>
      <c r="C2" s="9">
        <v>16.355179461704275</v>
      </c>
      <c r="D2" s="9">
        <v>14.957339576890837</v>
      </c>
      <c r="E2" s="9">
        <v>15.490350024896712</v>
      </c>
      <c r="F2" s="9">
        <v>17.227393267442576</v>
      </c>
      <c r="G2" s="9">
        <v>17.241247801498211</v>
      </c>
      <c r="H2" s="9">
        <v>16.413223012574715</v>
      </c>
      <c r="I2" s="9">
        <v>16.939049253860993</v>
      </c>
      <c r="J2" s="29">
        <v>16.951815545812376</v>
      </c>
      <c r="K2" s="9">
        <v>15.976938414380378</v>
      </c>
      <c r="L2" s="9">
        <v>14.921337650003014</v>
      </c>
      <c r="M2" s="9">
        <v>16.575602280684592</v>
      </c>
      <c r="N2" s="9">
        <v>17.692655662480274</v>
      </c>
      <c r="O2" s="9">
        <v>17.648011175366381</v>
      </c>
      <c r="P2" s="9">
        <v>19.818660559072406</v>
      </c>
    </row>
    <row r="3" spans="1:16">
      <c r="A3" s="26">
        <v>2</v>
      </c>
      <c r="B3" s="9">
        <v>15.461722898086</v>
      </c>
      <c r="C3" s="9">
        <v>15.095891831176402</v>
      </c>
      <c r="D3" s="9">
        <v>14.971860355818874</v>
      </c>
      <c r="E3" s="9">
        <v>14.929772617245906</v>
      </c>
      <c r="F3" s="9">
        <v>15.312025361809118</v>
      </c>
      <c r="G3" s="9">
        <v>14.507703152835697</v>
      </c>
      <c r="H3" s="9">
        <v>14.354944691174472</v>
      </c>
      <c r="I3" s="9">
        <v>15.13404397438949</v>
      </c>
      <c r="J3" s="29">
        <v>15.031259507395388</v>
      </c>
      <c r="K3" s="9">
        <v>16.443411599771046</v>
      </c>
      <c r="L3" s="9">
        <v>14.831546438713589</v>
      </c>
      <c r="M3" s="9">
        <v>14.243708851954661</v>
      </c>
      <c r="N3" s="9">
        <v>15.272128746373911</v>
      </c>
      <c r="O3" s="9">
        <v>16.601000113997497</v>
      </c>
      <c r="P3" s="9">
        <v>15.090910126039146</v>
      </c>
    </row>
    <row r="4" spans="1:16">
      <c r="A4" s="26">
        <v>3</v>
      </c>
      <c r="B4" s="9">
        <v>15.764880858697657</v>
      </c>
      <c r="C4" s="9">
        <v>15.706033087957135</v>
      </c>
      <c r="D4" s="9">
        <v>14.588158567978905</v>
      </c>
      <c r="E4" s="9">
        <v>15.344819740161888</v>
      </c>
      <c r="F4" s="9">
        <v>15.68696346598162</v>
      </c>
      <c r="G4" s="9">
        <v>16.30586126005641</v>
      </c>
      <c r="H4" s="9">
        <v>14.717217158778769</v>
      </c>
      <c r="I4" s="9">
        <v>13.045462756038445</v>
      </c>
      <c r="J4" s="29">
        <v>15.072979873600449</v>
      </c>
      <c r="K4" s="9">
        <v>14.204726642192341</v>
      </c>
      <c r="L4" s="9">
        <v>15.157816468848347</v>
      </c>
      <c r="M4" s="9">
        <v>15.603994777023935</v>
      </c>
      <c r="N4" s="9">
        <v>15.326481797593331</v>
      </c>
      <c r="O4" s="9">
        <v>15.821969956453</v>
      </c>
      <c r="P4" s="9">
        <v>15.376416464217847</v>
      </c>
    </row>
    <row r="5" spans="1:16">
      <c r="A5" s="26">
        <v>4</v>
      </c>
      <c r="B5" s="9">
        <v>17.6375848931207</v>
      </c>
      <c r="C5" s="9">
        <v>17.345590305866946</v>
      </c>
      <c r="D5" s="9">
        <v>18.375101223100458</v>
      </c>
      <c r="E5" s="9">
        <v>19.973864107218507</v>
      </c>
      <c r="F5" s="9">
        <v>20.204034149374063</v>
      </c>
      <c r="G5" s="9">
        <v>19.043521660901003</v>
      </c>
      <c r="H5" s="9">
        <v>18.470418489898201</v>
      </c>
      <c r="I5" s="9">
        <v>18.261270672313074</v>
      </c>
      <c r="J5" s="29">
        <v>20.918604824064733</v>
      </c>
      <c r="K5" s="9">
        <v>22.665169027045067</v>
      </c>
      <c r="L5" s="9">
        <v>24.426432293063815</v>
      </c>
      <c r="M5" s="9">
        <v>24.358339371705942</v>
      </c>
      <c r="N5" s="9">
        <v>21.000461231381436</v>
      </c>
      <c r="O5" s="9">
        <v>19.052783779733176</v>
      </c>
      <c r="P5" s="9">
        <v>20.501664698882188</v>
      </c>
    </row>
    <row r="6" spans="1:16">
      <c r="A6" s="26">
        <v>5</v>
      </c>
      <c r="B6" s="9">
        <v>14.825173740688935</v>
      </c>
      <c r="C6" s="9">
        <v>16.640574495831057</v>
      </c>
      <c r="D6" s="9">
        <v>17.176395501976501</v>
      </c>
      <c r="E6" s="9">
        <v>17.386958187729242</v>
      </c>
      <c r="F6" s="9">
        <v>16.824490097194087</v>
      </c>
      <c r="G6" s="9">
        <v>18.607744924698494</v>
      </c>
      <c r="H6" s="9">
        <v>17.7528455428188</v>
      </c>
      <c r="I6" s="9">
        <v>15.436646862026603</v>
      </c>
      <c r="J6" s="29">
        <v>14.57826916013058</v>
      </c>
      <c r="K6" s="9">
        <v>14.556150562232972</v>
      </c>
      <c r="L6" s="9">
        <v>15.814154849630883</v>
      </c>
      <c r="M6" s="9">
        <v>14.995371867232587</v>
      </c>
      <c r="N6" s="9">
        <v>15.331107561587775</v>
      </c>
      <c r="O6" s="9">
        <v>16.683244262499478</v>
      </c>
      <c r="P6" s="9">
        <v>17.008631173091224</v>
      </c>
    </row>
    <row r="7" spans="1:16">
      <c r="A7" s="26">
        <v>6</v>
      </c>
      <c r="B7" s="9">
        <v>17.67359740407332</v>
      </c>
      <c r="C7" s="9">
        <v>17.929264009305914</v>
      </c>
      <c r="D7" s="9">
        <v>19.056009414468125</v>
      </c>
      <c r="E7" s="9">
        <v>20.679610656320378</v>
      </c>
      <c r="F7" s="9">
        <v>22.181777403390051</v>
      </c>
      <c r="G7" s="9">
        <v>22.539223826118839</v>
      </c>
      <c r="H7" s="9">
        <v>25.408661217242695</v>
      </c>
      <c r="I7" s="9">
        <v>25.223194972311045</v>
      </c>
      <c r="J7" s="29">
        <v>25.45114907978898</v>
      </c>
      <c r="K7" s="9">
        <v>28.957961349843671</v>
      </c>
      <c r="L7" s="9">
        <v>30.962116943638431</v>
      </c>
      <c r="M7" s="9">
        <v>34.34840437458633</v>
      </c>
      <c r="N7" s="9">
        <v>35.350389921866793</v>
      </c>
      <c r="O7" s="9">
        <v>37.03186845373488</v>
      </c>
      <c r="P7" s="9">
        <v>38.324857644418373</v>
      </c>
    </row>
    <row r="8" spans="1:16">
      <c r="A8" s="26">
        <v>7</v>
      </c>
      <c r="B8" s="9">
        <v>13.913558287184962</v>
      </c>
      <c r="C8" s="9">
        <v>13.650215463110335</v>
      </c>
      <c r="D8" s="9">
        <v>14.502462589724036</v>
      </c>
      <c r="E8" s="9">
        <v>14.898445862134009</v>
      </c>
      <c r="F8" s="9">
        <v>14.937104110837193</v>
      </c>
      <c r="G8" s="9">
        <v>15.097049851276022</v>
      </c>
      <c r="H8" s="9">
        <v>16.296436013926488</v>
      </c>
      <c r="I8" s="9">
        <v>15.15412426297782</v>
      </c>
      <c r="J8" s="29">
        <v>14.935889628847828</v>
      </c>
      <c r="K8" s="9">
        <v>14.587477783900004</v>
      </c>
      <c r="L8" s="9">
        <v>14.943515429692658</v>
      </c>
      <c r="M8" s="9">
        <v>15.034930488452062</v>
      </c>
      <c r="N8" s="9">
        <v>15.898314881717054</v>
      </c>
      <c r="O8" s="9">
        <v>17.20438951420989</v>
      </c>
      <c r="P8" s="9">
        <v>16.530280997263674</v>
      </c>
    </row>
    <row r="9" spans="1:16">
      <c r="A9" s="26">
        <v>8</v>
      </c>
      <c r="B9" s="9">
        <v>15.298108193007732</v>
      </c>
      <c r="C9" s="9">
        <v>14.181609507043101</v>
      </c>
      <c r="D9" s="9">
        <v>14.093061654979671</v>
      </c>
      <c r="E9" s="9">
        <v>12.405441613540081</v>
      </c>
      <c r="F9" s="9">
        <v>12.496153336943106</v>
      </c>
      <c r="G9" s="9">
        <v>13.956550984905503</v>
      </c>
      <c r="H9" s="9">
        <v>14.356952649178414</v>
      </c>
      <c r="I9" s="9">
        <v>13.721079089451504</v>
      </c>
      <c r="J9" s="29">
        <v>16.085987674859744</v>
      </c>
      <c r="K9" s="9">
        <v>16.166822344142744</v>
      </c>
      <c r="L9" s="9">
        <v>15.825749062187352</v>
      </c>
      <c r="M9" s="9">
        <v>15.302608972449082</v>
      </c>
      <c r="N9" s="9">
        <v>15.449614176768163</v>
      </c>
      <c r="O9" s="9">
        <v>15.200399147475354</v>
      </c>
      <c r="P9" s="9">
        <v>17.192398776163717</v>
      </c>
    </row>
    <row r="10" spans="1:16">
      <c r="A10" s="26">
        <v>9</v>
      </c>
      <c r="B10" s="9">
        <v>15.244770262416884</v>
      </c>
      <c r="C10" s="9">
        <v>15.534480078540005</v>
      </c>
      <c r="D10" s="9">
        <v>16.794843261147513</v>
      </c>
      <c r="E10" s="9">
        <v>15.578515751787958</v>
      </c>
      <c r="F10" s="9">
        <v>16.346292807315255</v>
      </c>
      <c r="G10" s="9">
        <v>18.10491874728357</v>
      </c>
      <c r="H10" s="9">
        <v>16.510660644808492</v>
      </c>
      <c r="I10" s="9">
        <v>16.730649328822768</v>
      </c>
      <c r="J10" s="29">
        <v>17.698902740949258</v>
      </c>
      <c r="K10" s="9">
        <v>17.701176420205943</v>
      </c>
      <c r="L10" s="9">
        <v>16.332610206276243</v>
      </c>
      <c r="M10" s="9">
        <v>17.056015282646566</v>
      </c>
      <c r="N10" s="9">
        <v>19.513872920967433</v>
      </c>
      <c r="O10" s="9">
        <v>19.125544789546868</v>
      </c>
      <c r="P10" s="9">
        <v>19.789032242002154</v>
      </c>
    </row>
    <row r="11" spans="1:16">
      <c r="A11" s="26">
        <v>10</v>
      </c>
      <c r="B11" s="9">
        <v>15.818983359453803</v>
      </c>
      <c r="C11" s="9">
        <v>15.61567027079349</v>
      </c>
      <c r="D11" s="9">
        <v>13.809442479716896</v>
      </c>
      <c r="E11" s="9">
        <v>13.863269223384174</v>
      </c>
      <c r="F11" s="9">
        <v>14.00098163563041</v>
      </c>
      <c r="G11" s="9">
        <v>14.623442829181199</v>
      </c>
      <c r="H11" s="9">
        <v>16.34980790961864</v>
      </c>
      <c r="I11" s="9">
        <v>15.054558094022626</v>
      </c>
      <c r="J11" s="29">
        <v>17.042609603602198</v>
      </c>
      <c r="K11" s="9">
        <v>17.306948488533074</v>
      </c>
      <c r="L11" s="9">
        <v>17.278799815401438</v>
      </c>
      <c r="M11" s="9">
        <v>17.517689604148543</v>
      </c>
      <c r="N11" s="9">
        <v>21.371829757293881</v>
      </c>
      <c r="O11" s="9">
        <v>21.238900085904113</v>
      </c>
      <c r="P11" s="9">
        <v>20.933789945307428</v>
      </c>
    </row>
    <row r="12" spans="1:16">
      <c r="A12" s="26">
        <v>11</v>
      </c>
      <c r="B12" s="9">
        <v>14.348573773327773</v>
      </c>
      <c r="C12" s="9">
        <v>16.192934668959975</v>
      </c>
      <c r="D12" s="9">
        <v>17.253924350263055</v>
      </c>
      <c r="E12" s="9">
        <v>15.990107601844027</v>
      </c>
      <c r="F12" s="9">
        <v>15.870941635993084</v>
      </c>
      <c r="G12" s="9">
        <v>16.924490760009249</v>
      </c>
      <c r="H12" s="9">
        <v>16.932693585412601</v>
      </c>
      <c r="I12" s="9">
        <v>17.205724943680725</v>
      </c>
      <c r="J12" s="29">
        <v>17.117523687880098</v>
      </c>
      <c r="K12" s="9">
        <v>19.245463934481805</v>
      </c>
      <c r="L12" s="9">
        <v>18.257340189165159</v>
      </c>
      <c r="M12" s="9">
        <v>17.560330118854466</v>
      </c>
      <c r="N12" s="9">
        <v>17.602635884682741</v>
      </c>
      <c r="O12" s="9">
        <v>18.816531422512359</v>
      </c>
      <c r="P12" s="9">
        <v>18.822549296778782</v>
      </c>
    </row>
    <row r="13" spans="1:16">
      <c r="A13" s="26">
        <v>12</v>
      </c>
      <c r="B13" s="9">
        <v>16.120676015067172</v>
      </c>
      <c r="C13" s="9">
        <v>15.296703923837935</v>
      </c>
      <c r="D13" s="9">
        <v>15.642230170020973</v>
      </c>
      <c r="E13" s="9">
        <v>17.186538911143415</v>
      </c>
      <c r="F13" s="9">
        <v>19.152921871312216</v>
      </c>
      <c r="G13" s="9">
        <v>17.559789918868649</v>
      </c>
      <c r="H13" s="9">
        <v>17.230431824823526</v>
      </c>
      <c r="I13" s="9">
        <v>18.200376701695308</v>
      </c>
      <c r="J13" s="29">
        <v>19.906806846020444</v>
      </c>
      <c r="K13" s="9">
        <v>20.610489371588482</v>
      </c>
      <c r="L13" s="9">
        <v>20.674122007024806</v>
      </c>
      <c r="M13" s="9">
        <v>20.859927713569316</v>
      </c>
      <c r="N13" s="9">
        <v>20.374422061360939</v>
      </c>
      <c r="O13" s="9">
        <v>20.99151250451175</v>
      </c>
      <c r="P13" s="9">
        <v>21.051950877126131</v>
      </c>
    </row>
    <row r="14" spans="1:16">
      <c r="A14" s="26">
        <v>13</v>
      </c>
      <c r="B14" s="9">
        <v>15.432628081631309</v>
      </c>
      <c r="C14" s="9">
        <v>16.653770521562599</v>
      </c>
      <c r="D14" s="9">
        <v>18.851252378904466</v>
      </c>
      <c r="E14" s="9">
        <v>19.657250339151702</v>
      </c>
      <c r="F14" s="9">
        <v>21.964401852636506</v>
      </c>
      <c r="G14" s="9">
        <v>23.463586835303623</v>
      </c>
      <c r="H14" s="9">
        <v>23.791272861161424</v>
      </c>
      <c r="I14" s="9">
        <v>23.612976847148776</v>
      </c>
      <c r="J14" s="29">
        <v>21.5459028483812</v>
      </c>
      <c r="K14" s="9">
        <v>25.23774148910115</v>
      </c>
      <c r="L14" s="9">
        <v>24.57231388408783</v>
      </c>
      <c r="M14" s="9">
        <v>26.040772952722673</v>
      </c>
      <c r="N14" s="9">
        <v>24.08919102625876</v>
      </c>
      <c r="O14" s="9">
        <v>23.566353683523033</v>
      </c>
      <c r="P14" s="9">
        <v>24.919755577305402</v>
      </c>
    </row>
    <row r="15" spans="1:16">
      <c r="A15" s="26">
        <v>14</v>
      </c>
      <c r="B15" s="9">
        <v>16.070991809458789</v>
      </c>
      <c r="C15" s="9">
        <v>15.407518153357353</v>
      </c>
      <c r="D15" s="9">
        <v>14.351534293263656</v>
      </c>
      <c r="E15" s="9">
        <v>13.230252807335283</v>
      </c>
      <c r="F15" s="9">
        <v>13.657675442053058</v>
      </c>
      <c r="G15" s="9">
        <v>13.58035010806514</v>
      </c>
      <c r="H15" s="9">
        <v>14.584456788297707</v>
      </c>
      <c r="I15" s="9">
        <v>13.393383511138214</v>
      </c>
      <c r="J15" s="29">
        <v>13.021210832950111</v>
      </c>
      <c r="K15" s="9">
        <v>11.934296289127646</v>
      </c>
      <c r="L15" s="9">
        <v>11.057609253474146</v>
      </c>
      <c r="M15" s="9">
        <v>10.406303210084655</v>
      </c>
      <c r="N15" s="9">
        <v>10.068990669246972</v>
      </c>
      <c r="O15" s="9">
        <v>9.6961775299451869</v>
      </c>
      <c r="P15" s="9">
        <v>9.4200936176050512</v>
      </c>
    </row>
    <row r="16" spans="1:16">
      <c r="A16" s="26">
        <v>15</v>
      </c>
      <c r="B16" s="9">
        <v>14.847110058081226</v>
      </c>
      <c r="C16" s="9">
        <v>15.245900337765269</v>
      </c>
      <c r="D16" s="9">
        <v>15.589232083035409</v>
      </c>
      <c r="E16" s="9">
        <v>15.193460725523364</v>
      </c>
      <c r="F16" s="9">
        <v>13.725409377221288</v>
      </c>
      <c r="G16" s="9">
        <v>14.474200946597023</v>
      </c>
      <c r="H16" s="9">
        <v>17.52521761150161</v>
      </c>
      <c r="I16" s="9">
        <v>20.431516233309015</v>
      </c>
      <c r="J16" s="29">
        <v>18.792032131610657</v>
      </c>
      <c r="K16" s="9">
        <v>18.523892687960462</v>
      </c>
      <c r="L16" s="9">
        <v>18.920810523788894</v>
      </c>
      <c r="M16" s="9">
        <v>18.128501490420945</v>
      </c>
      <c r="N16" s="9">
        <v>20.250825000166415</v>
      </c>
      <c r="O16" s="9">
        <v>19.35310544341608</v>
      </c>
      <c r="P16" s="9">
        <v>18.447696419062527</v>
      </c>
    </row>
    <row r="17" spans="1:16">
      <c r="A17" s="26">
        <v>16</v>
      </c>
      <c r="B17" s="9">
        <v>15.707898788867176</v>
      </c>
      <c r="C17" s="9">
        <v>16.940843413383536</v>
      </c>
      <c r="D17" s="9">
        <v>16.347808464315438</v>
      </c>
      <c r="E17" s="9">
        <v>16.400146202161743</v>
      </c>
      <c r="F17" s="9">
        <v>15.761992131302671</v>
      </c>
      <c r="G17" s="9">
        <v>15.061777085848775</v>
      </c>
      <c r="H17" s="9">
        <v>14.820039365081763</v>
      </c>
      <c r="I17" s="9">
        <v>14.973605576797393</v>
      </c>
      <c r="J17" s="29">
        <v>14.307333098048153</v>
      </c>
      <c r="K17" s="9">
        <v>14.956182730414461</v>
      </c>
      <c r="L17" s="9">
        <v>14.894987377920955</v>
      </c>
      <c r="M17" s="9">
        <v>14.817031035679506</v>
      </c>
      <c r="N17" s="9">
        <v>14.329947876497176</v>
      </c>
      <c r="O17" s="9">
        <v>13.338088588107048</v>
      </c>
      <c r="P17" s="9">
        <v>11.853463833304172</v>
      </c>
    </row>
    <row r="18" spans="1:16">
      <c r="A18" s="26">
        <v>17</v>
      </c>
      <c r="B18" s="9">
        <v>16.481264518872059</v>
      </c>
      <c r="C18" s="9">
        <v>15.270701650560142</v>
      </c>
      <c r="D18" s="9">
        <v>14.348384700995094</v>
      </c>
      <c r="E18" s="9">
        <v>14.763795619799046</v>
      </c>
      <c r="F18" s="9">
        <v>15.429970574873233</v>
      </c>
      <c r="G18" s="9">
        <v>16.006410346690547</v>
      </c>
      <c r="H18" s="9">
        <v>17.797914432891563</v>
      </c>
      <c r="I18" s="9">
        <v>17.349626145061091</v>
      </c>
      <c r="J18" s="29">
        <v>17.639645826975986</v>
      </c>
      <c r="K18" s="9">
        <v>16.47135075326338</v>
      </c>
      <c r="L18" s="9">
        <v>15.448557506264143</v>
      </c>
      <c r="M18" s="9">
        <v>16.147049339503049</v>
      </c>
      <c r="N18" s="9">
        <v>16.151839362714405</v>
      </c>
      <c r="O18" s="9">
        <v>15.458801731007538</v>
      </c>
      <c r="P18" s="9">
        <v>14.341455864642892</v>
      </c>
    </row>
    <row r="19" spans="1:16">
      <c r="A19" s="26">
        <v>18</v>
      </c>
      <c r="B19" s="9">
        <v>17.459677566142936</v>
      </c>
      <c r="C19" s="9">
        <v>19.830980281988445</v>
      </c>
      <c r="D19" s="9">
        <v>19.307313161871583</v>
      </c>
      <c r="E19" s="9">
        <v>19.852334192223637</v>
      </c>
      <c r="F19" s="9">
        <v>20.114356926834603</v>
      </c>
      <c r="G19" s="9">
        <v>19.451078110820546</v>
      </c>
      <c r="H19" s="9">
        <v>19.957751472243199</v>
      </c>
      <c r="I19" s="9">
        <v>18.846816923729264</v>
      </c>
      <c r="J19" s="29">
        <v>19.70839794246135</v>
      </c>
      <c r="K19" s="9">
        <v>17.709949566915185</v>
      </c>
      <c r="L19" s="9">
        <v>18.619717826531293</v>
      </c>
      <c r="M19" s="9">
        <v>18.976688477120227</v>
      </c>
      <c r="N19" s="9">
        <v>20.149715774675656</v>
      </c>
      <c r="O19" s="9">
        <v>22.195123089448288</v>
      </c>
      <c r="P19" s="9">
        <v>22.933192595121575</v>
      </c>
    </row>
    <row r="20" spans="1:16">
      <c r="A20" s="26">
        <v>19</v>
      </c>
      <c r="B20" s="9">
        <v>16.745432455334143</v>
      </c>
      <c r="C20" s="9">
        <v>16.125372567329059</v>
      </c>
      <c r="D20" s="9">
        <v>14.678692801315467</v>
      </c>
      <c r="E20" s="9">
        <v>16.758876370638305</v>
      </c>
      <c r="F20" s="9">
        <v>19.337261188464755</v>
      </c>
      <c r="G20" s="9">
        <v>18.486870078109533</v>
      </c>
      <c r="H20" s="9">
        <v>17.016148736171704</v>
      </c>
      <c r="I20" s="9">
        <v>17.57361588490998</v>
      </c>
      <c r="J20" s="29">
        <v>17.102391294266649</v>
      </c>
      <c r="K20" s="9">
        <v>17.503630354271447</v>
      </c>
      <c r="L20" s="9">
        <v>17.497754587918855</v>
      </c>
      <c r="M20" s="9">
        <v>17.641895913891311</v>
      </c>
      <c r="N20" s="9">
        <v>18.605663278338657</v>
      </c>
      <c r="O20" s="9">
        <v>18.653748886319754</v>
      </c>
      <c r="P20" s="9">
        <v>18.197775504000333</v>
      </c>
    </row>
    <row r="21" spans="1:16">
      <c r="A21" s="26">
        <v>20</v>
      </c>
      <c r="B21" s="9">
        <v>16.222452409533332</v>
      </c>
      <c r="C21" s="9">
        <v>16.900210356678169</v>
      </c>
      <c r="D21" s="9">
        <v>15.040739488047377</v>
      </c>
      <c r="E21" s="9">
        <v>16.450331267769727</v>
      </c>
      <c r="F21" s="9">
        <v>17.920577188594009</v>
      </c>
      <c r="G21" s="9">
        <v>16.928968065091279</v>
      </c>
      <c r="H21" s="9">
        <v>15.565040293113322</v>
      </c>
      <c r="I21" s="9">
        <v>18.256039077100198</v>
      </c>
      <c r="J21" s="29">
        <v>17.820238870093384</v>
      </c>
      <c r="K21" s="9">
        <v>19.725450284720029</v>
      </c>
      <c r="L21" s="9">
        <v>20.323579533855483</v>
      </c>
      <c r="M21" s="9">
        <v>18.951109897338597</v>
      </c>
      <c r="N21" s="9">
        <v>20.830965286690976</v>
      </c>
      <c r="O21" s="9">
        <v>22.076814015738101</v>
      </c>
      <c r="P21" s="9">
        <v>21.553069565566993</v>
      </c>
    </row>
    <row r="22" spans="1:16">
      <c r="A22" s="26">
        <v>21</v>
      </c>
      <c r="B22" s="9">
        <v>14.037190572200464</v>
      </c>
      <c r="C22" s="9">
        <v>14.407712542116279</v>
      </c>
      <c r="D22" s="9">
        <v>14.806754685505611</v>
      </c>
      <c r="E22" s="9">
        <v>14.786754456875814</v>
      </c>
      <c r="F22" s="9">
        <v>15.383731054158661</v>
      </c>
      <c r="G22" s="9">
        <v>14.473502148904833</v>
      </c>
      <c r="H22" s="9">
        <v>13.337173968012916</v>
      </c>
      <c r="I22" s="9">
        <v>14.052595091286586</v>
      </c>
      <c r="J22" s="29">
        <v>13.300556682222668</v>
      </c>
      <c r="K22" s="9">
        <v>12.312359128380963</v>
      </c>
      <c r="L22" s="9">
        <v>12.062201472190154</v>
      </c>
      <c r="M22" s="9">
        <v>11.61768560135252</v>
      </c>
      <c r="N22" s="9">
        <v>11.676847300242526</v>
      </c>
      <c r="O22" s="9">
        <v>10.645342024640664</v>
      </c>
      <c r="P22" s="9">
        <v>10.797418575602503</v>
      </c>
    </row>
    <row r="23" spans="1:16">
      <c r="A23" s="26">
        <v>22</v>
      </c>
      <c r="B23" s="9">
        <v>15.955694803435005</v>
      </c>
      <c r="C23" s="9">
        <v>15.998611423833218</v>
      </c>
      <c r="D23" s="9">
        <v>16.863920804310968</v>
      </c>
      <c r="E23" s="9">
        <v>16.1179347413063</v>
      </c>
      <c r="F23" s="9">
        <v>15.00597219232329</v>
      </c>
      <c r="G23" s="9">
        <v>14.036504474429982</v>
      </c>
      <c r="H23" s="9">
        <v>14.15955562524584</v>
      </c>
      <c r="I23" s="9">
        <v>14.417595539822647</v>
      </c>
      <c r="J23" s="29">
        <v>14.142115828599287</v>
      </c>
      <c r="K23" s="9">
        <v>14.442674208688123</v>
      </c>
      <c r="L23" s="9">
        <v>16.202251696795457</v>
      </c>
      <c r="M23" s="9">
        <v>16.132122730658708</v>
      </c>
      <c r="N23" s="9">
        <v>15.01453678510383</v>
      </c>
      <c r="O23" s="9">
        <v>13.704153570649462</v>
      </c>
      <c r="P23" s="9">
        <v>13.983106582443583</v>
      </c>
    </row>
    <row r="24" spans="1:16">
      <c r="A24" s="26">
        <v>23</v>
      </c>
      <c r="B24" s="9">
        <v>16.146384182992644</v>
      </c>
      <c r="C24" s="9">
        <v>17.010759708615947</v>
      </c>
      <c r="D24" s="9">
        <v>16.367315918173805</v>
      </c>
      <c r="E24" s="9">
        <v>16.020139917176728</v>
      </c>
      <c r="F24" s="9">
        <v>13.847185368385007</v>
      </c>
      <c r="G24" s="9">
        <v>12.696120514462645</v>
      </c>
      <c r="H24" s="9">
        <v>12.948395894146305</v>
      </c>
      <c r="I24" s="9">
        <v>12.898082350534583</v>
      </c>
      <c r="J24" s="29">
        <v>12.576155034722229</v>
      </c>
      <c r="K24" s="9">
        <v>13.304709709957191</v>
      </c>
      <c r="L24" s="9">
        <v>13.826076022764585</v>
      </c>
      <c r="M24" s="9">
        <v>14.83601213534001</v>
      </c>
      <c r="N24" s="9">
        <v>15.899555866136284</v>
      </c>
      <c r="O24" s="9">
        <v>15.304892212141288</v>
      </c>
      <c r="P24" s="9">
        <v>13.28907753094354</v>
      </c>
    </row>
    <row r="25" spans="1:16">
      <c r="A25" s="26">
        <v>24</v>
      </c>
      <c r="B25" s="9">
        <v>16.2510882335466</v>
      </c>
      <c r="C25" s="9">
        <v>15.753590181077019</v>
      </c>
      <c r="D25" s="9">
        <v>14.395525061036164</v>
      </c>
      <c r="E25" s="9">
        <v>14.99603852859015</v>
      </c>
      <c r="F25" s="9">
        <v>16.001356961407591</v>
      </c>
      <c r="G25" s="9">
        <v>16.163068524360106</v>
      </c>
      <c r="H25" s="9">
        <v>15.606216638550896</v>
      </c>
      <c r="I25" s="9">
        <v>16.871697643734031</v>
      </c>
      <c r="J25" s="29">
        <v>18.328233524132752</v>
      </c>
      <c r="K25" s="9">
        <v>17.311304956902219</v>
      </c>
      <c r="L25" s="9">
        <v>18.051191778233253</v>
      </c>
      <c r="M25" s="9">
        <v>18.797144257852132</v>
      </c>
      <c r="N25" s="9">
        <v>20.383410907687018</v>
      </c>
      <c r="O25" s="9">
        <v>18.644857895861133</v>
      </c>
      <c r="P25" s="9">
        <v>17.110670617473108</v>
      </c>
    </row>
    <row r="26" spans="1:16">
      <c r="A26" s="26">
        <v>25</v>
      </c>
      <c r="B26" s="9">
        <v>17.681381719053032</v>
      </c>
      <c r="C26" s="9">
        <v>18.805530506763837</v>
      </c>
      <c r="D26" s="9">
        <v>21.341149118203184</v>
      </c>
      <c r="E26" s="9">
        <v>21.823611949591172</v>
      </c>
      <c r="F26" s="9">
        <v>20.399645150577683</v>
      </c>
      <c r="G26" s="9">
        <v>20.576537005859262</v>
      </c>
      <c r="H26" s="9">
        <v>21.716011611667032</v>
      </c>
      <c r="I26" s="9">
        <v>22.637083547427125</v>
      </c>
      <c r="J26" s="29">
        <v>26.19355107819543</v>
      </c>
      <c r="K26" s="9">
        <v>25.652338561835339</v>
      </c>
      <c r="L26" s="9">
        <v>24.022062686521753</v>
      </c>
      <c r="M26" s="9">
        <v>22.2309967160928</v>
      </c>
      <c r="N26" s="9">
        <v>21.83125202168295</v>
      </c>
      <c r="O26" s="9">
        <v>22.661001661580976</v>
      </c>
      <c r="P26" s="9">
        <v>20.34245545385027</v>
      </c>
    </row>
    <row r="27" spans="1:16">
      <c r="A27" s="26">
        <v>26</v>
      </c>
      <c r="B27" s="9">
        <v>14.887254900805177</v>
      </c>
      <c r="C27" s="9">
        <v>14.760091715501419</v>
      </c>
      <c r="D27" s="9">
        <v>15.14936414209196</v>
      </c>
      <c r="E27" s="9">
        <v>14.896711159658876</v>
      </c>
      <c r="F27" s="9">
        <v>14.785368740915944</v>
      </c>
      <c r="G27" s="9">
        <v>16.801662192786473</v>
      </c>
      <c r="H27" s="9">
        <v>15.207608545391258</v>
      </c>
      <c r="I27" s="9">
        <v>14.691612092518946</v>
      </c>
      <c r="J27" s="29">
        <v>15.370599448255929</v>
      </c>
      <c r="K27" s="9">
        <v>14.814383413261854</v>
      </c>
      <c r="L27" s="9">
        <v>15.951416698287019</v>
      </c>
      <c r="M27" s="9">
        <v>15.732038203717186</v>
      </c>
      <c r="N27" s="9">
        <v>15.923816064147532</v>
      </c>
      <c r="O27" s="9">
        <v>14.340912701357578</v>
      </c>
      <c r="P27" s="9">
        <v>13.281151887620455</v>
      </c>
    </row>
    <row r="28" spans="1:16">
      <c r="A28" s="26">
        <v>27</v>
      </c>
      <c r="B28" s="9">
        <v>16.636318119523253</v>
      </c>
      <c r="C28" s="9">
        <v>17.608225480433624</v>
      </c>
      <c r="D28" s="9">
        <v>17.137918930048251</v>
      </c>
      <c r="E28" s="9">
        <v>16.975366913030303</v>
      </c>
      <c r="F28" s="9">
        <v>17.237532846788341</v>
      </c>
      <c r="G28" s="9">
        <v>15.273347482655188</v>
      </c>
      <c r="H28" s="9">
        <v>15.373901423015806</v>
      </c>
      <c r="I28" s="9">
        <v>13.39442249387692</v>
      </c>
      <c r="J28" s="29">
        <v>11.923835169987631</v>
      </c>
      <c r="K28" s="9">
        <v>12.978148053155662</v>
      </c>
      <c r="L28" s="9">
        <v>12.85716645156486</v>
      </c>
      <c r="M28" s="9">
        <v>13.669975778537378</v>
      </c>
      <c r="N28" s="9">
        <v>14.536578187629718</v>
      </c>
      <c r="O28" s="9">
        <v>13.201536887200104</v>
      </c>
      <c r="P28" s="9">
        <v>13.936583239717512</v>
      </c>
    </row>
    <row r="29" spans="1:16">
      <c r="A29" s="26">
        <v>28</v>
      </c>
      <c r="B29" s="9">
        <v>15.074701012915074</v>
      </c>
      <c r="C29" s="9">
        <v>13.297054557198166</v>
      </c>
      <c r="D29" s="9">
        <v>12.78345803986781</v>
      </c>
      <c r="E29" s="9">
        <v>12.204162766334376</v>
      </c>
      <c r="F29" s="9">
        <v>11.102839287856211</v>
      </c>
      <c r="G29" s="9">
        <v>11.278262379632448</v>
      </c>
      <c r="H29" s="9">
        <v>10.69537709545064</v>
      </c>
      <c r="I29" s="9">
        <v>10.653842749421521</v>
      </c>
      <c r="J29" s="29">
        <v>10.644319380256372</v>
      </c>
      <c r="K29" s="9">
        <v>11.324692654741636</v>
      </c>
      <c r="L29" s="9">
        <v>11.518013733969017</v>
      </c>
      <c r="M29" s="9">
        <v>11.950878425607563</v>
      </c>
      <c r="N29" s="9">
        <v>12.050602556388004</v>
      </c>
      <c r="O29" s="9">
        <v>12.501959593888731</v>
      </c>
      <c r="P29" s="9">
        <v>11.708062020626695</v>
      </c>
    </row>
    <row r="30" spans="1:16">
      <c r="A30" s="26">
        <v>29</v>
      </c>
      <c r="B30" s="9">
        <v>15.326856139670786</v>
      </c>
      <c r="C30" s="9">
        <v>15.281037433544821</v>
      </c>
      <c r="D30" s="9">
        <v>15.742679689282621</v>
      </c>
      <c r="E30" s="9">
        <v>14.943578102010306</v>
      </c>
      <c r="F30" s="9">
        <v>17.167765521688651</v>
      </c>
      <c r="G30" s="9">
        <v>15.286868698818171</v>
      </c>
      <c r="H30" s="9">
        <v>14.651374443542135</v>
      </c>
      <c r="I30" s="9">
        <v>14.384948200335673</v>
      </c>
      <c r="J30" s="29">
        <v>14.097557422333811</v>
      </c>
      <c r="K30" s="9">
        <v>15.006884492498566</v>
      </c>
      <c r="L30" s="9">
        <v>15.913369008708814</v>
      </c>
      <c r="M30" s="9">
        <v>16.899136880628927</v>
      </c>
      <c r="N30" s="9">
        <v>15.257985316883415</v>
      </c>
      <c r="O30" s="9">
        <v>12.678081546608187</v>
      </c>
      <c r="P30" s="9">
        <v>11.787579043917049</v>
      </c>
    </row>
    <row r="31" spans="1:16">
      <c r="A31" s="26">
        <v>30</v>
      </c>
      <c r="B31" s="9">
        <v>15.016857415660818</v>
      </c>
      <c r="C31" s="9">
        <v>14.251106885868863</v>
      </c>
      <c r="D31" s="9">
        <v>13.721751677407884</v>
      </c>
      <c r="E31" s="9">
        <v>13.87137991989613</v>
      </c>
      <c r="F31" s="9">
        <v>13.682974232068153</v>
      </c>
      <c r="G31" s="9">
        <v>14.660521125007723</v>
      </c>
      <c r="H31" s="9">
        <v>14.205605678092542</v>
      </c>
      <c r="I31" s="9">
        <v>14.186156035449191</v>
      </c>
      <c r="J31" s="29">
        <v>14.518211190810053</v>
      </c>
      <c r="K31" s="9">
        <v>16.419898528603756</v>
      </c>
      <c r="L31" s="9">
        <v>16.383157345052833</v>
      </c>
      <c r="M31" s="9">
        <v>16.820261696744758</v>
      </c>
      <c r="N31" s="9">
        <v>18.259206390315565</v>
      </c>
      <c r="O31" s="9">
        <v>20.0268358869202</v>
      </c>
      <c r="P31" s="9">
        <v>19.808568225910037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4.0363329949762496</v>
      </c>
      <c r="C2" s="9">
        <v>4.1095860912188691</v>
      </c>
      <c r="D2" s="9">
        <v>4.2287614001930312</v>
      </c>
      <c r="E2" s="9">
        <v>4.1880735190736695</v>
      </c>
      <c r="F2" s="9">
        <v>4.1550689220391073</v>
      </c>
      <c r="G2" s="9">
        <v>4.161143276209625</v>
      </c>
      <c r="H2" s="9">
        <v>4.0411380603704634</v>
      </c>
      <c r="I2" s="9">
        <v>3.9680846989918699</v>
      </c>
      <c r="J2" s="29">
        <v>4.1199754113688467</v>
      </c>
      <c r="K2" s="9">
        <v>4.2390351443057055</v>
      </c>
      <c r="L2" s="9">
        <v>4.0759121238119844</v>
      </c>
      <c r="M2" s="9">
        <v>4.0117940849645448</v>
      </c>
      <c r="N2" s="9">
        <v>4.1826863574951183</v>
      </c>
      <c r="O2" s="9">
        <v>4.0968145620654157</v>
      </c>
      <c r="P2" s="9">
        <v>4.1562998909179214</v>
      </c>
    </row>
    <row r="3" spans="1:16">
      <c r="A3" s="26">
        <v>2</v>
      </c>
      <c r="B3" s="9">
        <v>3.8118307742485795</v>
      </c>
      <c r="C3" s="9">
        <v>3.7578802657790078</v>
      </c>
      <c r="D3" s="9">
        <v>3.7740063088647378</v>
      </c>
      <c r="E3" s="9">
        <v>3.6130356424776227</v>
      </c>
      <c r="F3" s="9">
        <v>3.6935052637272596</v>
      </c>
      <c r="G3" s="9">
        <v>3.6494354821858339</v>
      </c>
      <c r="H3" s="9">
        <v>3.241224303881058</v>
      </c>
      <c r="I3" s="9">
        <v>3.1464140791653672</v>
      </c>
      <c r="J3" s="29">
        <v>3.1356416667335107</v>
      </c>
      <c r="K3" s="9">
        <v>3.2996676062459938</v>
      </c>
      <c r="L3" s="9">
        <v>3.4834039616625465</v>
      </c>
      <c r="M3" s="9">
        <v>3.5460842997933435</v>
      </c>
      <c r="N3" s="9">
        <v>3.7059770259067926</v>
      </c>
      <c r="O3" s="9">
        <v>3.8577941670111775</v>
      </c>
      <c r="P3" s="9">
        <v>4.072021637895813</v>
      </c>
    </row>
    <row r="4" spans="1:16">
      <c r="A4" s="26">
        <v>3</v>
      </c>
      <c r="B4" s="9">
        <v>3.8425029135383042</v>
      </c>
      <c r="C4" s="9">
        <v>3.7842222480822691</v>
      </c>
      <c r="D4" s="9">
        <v>4.0243821809400968</v>
      </c>
      <c r="E4" s="9">
        <v>3.8142072524539845</v>
      </c>
      <c r="F4" s="9">
        <v>3.707365651804269</v>
      </c>
      <c r="G4" s="9">
        <v>3.7224992842249893</v>
      </c>
      <c r="H4" s="9">
        <v>3.4372571336459843</v>
      </c>
      <c r="I4" s="9">
        <v>3.3401856774727552</v>
      </c>
      <c r="J4" s="29">
        <v>3.2331587657676213</v>
      </c>
      <c r="K4" s="9">
        <v>3.2762883809005774</v>
      </c>
      <c r="L4" s="9">
        <v>3.2748505130042864</v>
      </c>
      <c r="M4" s="9">
        <v>3.4046712862564807</v>
      </c>
      <c r="N4" s="9">
        <v>3.5181639271399723</v>
      </c>
      <c r="O4" s="9">
        <v>3.5782592124824379</v>
      </c>
      <c r="P4" s="9">
        <v>3.7098073293031661</v>
      </c>
    </row>
    <row r="5" spans="1:16">
      <c r="A5" s="26">
        <v>4</v>
      </c>
      <c r="B5" s="9">
        <v>3.9582331651250402</v>
      </c>
      <c r="C5" s="9">
        <v>3.8651779736929774</v>
      </c>
      <c r="D5" s="9">
        <v>4.0181655746850389</v>
      </c>
      <c r="E5" s="9">
        <v>4.2560062780242394</v>
      </c>
      <c r="F5" s="9">
        <v>4.4819274365042618</v>
      </c>
      <c r="G5" s="9">
        <v>4.2799036993449473</v>
      </c>
      <c r="H5" s="9">
        <v>4.2147800088608802</v>
      </c>
      <c r="I5" s="9">
        <v>4.1666249842300696</v>
      </c>
      <c r="J5" s="29">
        <v>4.5167717655462152</v>
      </c>
      <c r="K5" s="9">
        <v>4.4379504942252339</v>
      </c>
      <c r="L5" s="9">
        <v>4.2276002313775241</v>
      </c>
      <c r="M5" s="9">
        <v>4.3543567411304931</v>
      </c>
      <c r="N5" s="9">
        <v>4.3662810744149967</v>
      </c>
      <c r="O5" s="9">
        <v>4.4939464455457294</v>
      </c>
      <c r="P5" s="9">
        <v>4.4381941889103764</v>
      </c>
    </row>
    <row r="6" spans="1:16">
      <c r="A6" s="26">
        <v>5</v>
      </c>
      <c r="B6" s="9">
        <v>3.7842586546007677</v>
      </c>
      <c r="C6" s="9">
        <v>3.7634587197055489</v>
      </c>
      <c r="D6" s="9">
        <v>3.8402204996231233</v>
      </c>
      <c r="E6" s="9">
        <v>3.7866106184634636</v>
      </c>
      <c r="F6" s="9">
        <v>3.8321285059590204</v>
      </c>
      <c r="G6" s="9">
        <v>3.9738576723291352</v>
      </c>
      <c r="H6" s="9">
        <v>4.3383139276765759</v>
      </c>
      <c r="I6" s="9">
        <v>4.2080399016292986</v>
      </c>
      <c r="J6" s="29">
        <v>4.0486926044402392</v>
      </c>
      <c r="K6" s="9">
        <v>4.4418710496262168</v>
      </c>
      <c r="L6" s="9">
        <v>4.4211679771345018</v>
      </c>
      <c r="M6" s="9">
        <v>4.3689212982852048</v>
      </c>
      <c r="N6" s="9">
        <v>4.2939412170751874</v>
      </c>
      <c r="O6" s="9">
        <v>4.2569850539551846</v>
      </c>
      <c r="P6" s="9">
        <v>4.214605338732345</v>
      </c>
    </row>
    <row r="7" spans="1:16">
      <c r="A7" s="26">
        <v>6</v>
      </c>
      <c r="B7" s="9">
        <v>3.6644148648590393</v>
      </c>
      <c r="C7" s="9">
        <v>3.4293930969566815</v>
      </c>
      <c r="D7" s="9">
        <v>3.4419904144771083</v>
      </c>
      <c r="E7" s="9">
        <v>3.4740518854174085</v>
      </c>
      <c r="F7" s="9">
        <v>3.5866031096635624</v>
      </c>
      <c r="G7" s="9">
        <v>3.4736477331717772</v>
      </c>
      <c r="H7" s="9">
        <v>3.4614594888674528</v>
      </c>
      <c r="I7" s="9">
        <v>3.6484952440718206</v>
      </c>
      <c r="J7" s="29">
        <v>3.4582601320815165</v>
      </c>
      <c r="K7" s="9">
        <v>3.3875546846263225</v>
      </c>
      <c r="L7" s="9">
        <v>3.429529215807587</v>
      </c>
      <c r="M7" s="9">
        <v>3.7304256714828004</v>
      </c>
      <c r="N7" s="9">
        <v>3.7305174578283991</v>
      </c>
      <c r="O7" s="9">
        <v>3.6807597308518436</v>
      </c>
      <c r="P7" s="9">
        <v>3.8219666993646286</v>
      </c>
    </row>
    <row r="8" spans="1:16">
      <c r="A8" s="26">
        <v>7</v>
      </c>
      <c r="B8" s="9">
        <v>3.8815441858041382</v>
      </c>
      <c r="C8" s="9">
        <v>3.621796773714236</v>
      </c>
      <c r="D8" s="9">
        <v>3.7643512596822823</v>
      </c>
      <c r="E8" s="9">
        <v>3.7049870197804515</v>
      </c>
      <c r="F8" s="9">
        <v>3.7242699448214269</v>
      </c>
      <c r="G8" s="9">
        <v>3.5106063941947681</v>
      </c>
      <c r="H8" s="9">
        <v>3.3536471230730323</v>
      </c>
      <c r="I8" s="9">
        <v>3.3820775847081364</v>
      </c>
      <c r="J8" s="29">
        <v>3.4803258873095269</v>
      </c>
      <c r="K8" s="9">
        <v>3.5571554612057215</v>
      </c>
      <c r="L8" s="9">
        <v>3.4523173063213459</v>
      </c>
      <c r="M8" s="9">
        <v>3.535471637603679</v>
      </c>
      <c r="N8" s="9">
        <v>3.4600604575568337</v>
      </c>
      <c r="O8" s="9">
        <v>3.5105388325806488</v>
      </c>
      <c r="P8" s="9">
        <v>3.5051356418477586</v>
      </c>
    </row>
    <row r="9" spans="1:16">
      <c r="A9" s="26">
        <v>8</v>
      </c>
      <c r="B9" s="9">
        <v>3.7361513370155577</v>
      </c>
      <c r="C9" s="9">
        <v>3.8377733381730472</v>
      </c>
      <c r="D9" s="9">
        <v>4.0104500575694093</v>
      </c>
      <c r="E9" s="9">
        <v>3.9121028529773278</v>
      </c>
      <c r="F9" s="9">
        <v>4.0940264187470889</v>
      </c>
      <c r="G9" s="9">
        <v>3.9229608379607321</v>
      </c>
      <c r="H9" s="9">
        <v>3.7498706354540201</v>
      </c>
      <c r="I9" s="9">
        <v>3.6441475848564373</v>
      </c>
      <c r="J9" s="29">
        <v>3.5260912094094636</v>
      </c>
      <c r="K9" s="9">
        <v>3.3297839925774504</v>
      </c>
      <c r="L9" s="9">
        <v>3.29945627234618</v>
      </c>
      <c r="M9" s="9">
        <v>3.3153487507973667</v>
      </c>
      <c r="N9" s="9">
        <v>3.3257073769678986</v>
      </c>
      <c r="O9" s="9">
        <v>3.6100566711464088</v>
      </c>
      <c r="P9" s="9">
        <v>3.5383643068807298</v>
      </c>
    </row>
    <row r="10" spans="1:16">
      <c r="A10" s="26">
        <v>9</v>
      </c>
      <c r="B10" s="9">
        <v>3.8439422296821153</v>
      </c>
      <c r="C10" s="9">
        <v>3.9400292871299514</v>
      </c>
      <c r="D10" s="9">
        <v>4.1068781074533334</v>
      </c>
      <c r="E10" s="9">
        <v>3.9993530116051512</v>
      </c>
      <c r="F10" s="9">
        <v>4.0730610878148061</v>
      </c>
      <c r="G10" s="9">
        <v>4.1372731046312872</v>
      </c>
      <c r="H10" s="9">
        <v>4.1248774313008418</v>
      </c>
      <c r="I10" s="9">
        <v>4.1764696425029921</v>
      </c>
      <c r="J10" s="29">
        <v>4.1926777274058313</v>
      </c>
      <c r="K10" s="9">
        <v>4.5035670020583494</v>
      </c>
      <c r="L10" s="9">
        <v>4.3398220458752483</v>
      </c>
      <c r="M10" s="9">
        <v>4.5508378193357428</v>
      </c>
      <c r="N10" s="9">
        <v>4.5923809193184679</v>
      </c>
      <c r="O10" s="9">
        <v>4.5006213426278787</v>
      </c>
      <c r="P10" s="9">
        <v>4.6502212364231275</v>
      </c>
    </row>
    <row r="11" spans="1:16">
      <c r="A11" s="26">
        <v>10</v>
      </c>
      <c r="B11" s="9">
        <v>3.9447324716238286</v>
      </c>
      <c r="C11" s="9">
        <v>3.6681874796543199</v>
      </c>
      <c r="D11" s="9">
        <v>3.6901798136964077</v>
      </c>
      <c r="E11" s="9">
        <v>3.8936331798788113</v>
      </c>
      <c r="F11" s="9">
        <v>4.2495782065959871</v>
      </c>
      <c r="G11" s="9">
        <v>4.1503942127219222</v>
      </c>
      <c r="H11" s="9">
        <v>4.2128290810213755</v>
      </c>
      <c r="I11" s="9">
        <v>4.0628716684485671</v>
      </c>
      <c r="J11" s="29">
        <v>3.8743650032469139</v>
      </c>
      <c r="K11" s="9">
        <v>4.0713609947530571</v>
      </c>
      <c r="L11" s="9">
        <v>4.3607158801231449</v>
      </c>
      <c r="M11" s="9">
        <v>4.2546508084901822</v>
      </c>
      <c r="N11" s="9">
        <v>4.2019814791918613</v>
      </c>
      <c r="O11" s="9">
        <v>4.4326077139752718</v>
      </c>
      <c r="P11" s="9">
        <v>4.4154011753780305</v>
      </c>
    </row>
    <row r="12" spans="1:16">
      <c r="A12" s="26">
        <v>11</v>
      </c>
      <c r="B12" s="9">
        <v>4.041321324309072</v>
      </c>
      <c r="C12" s="9">
        <v>3.8295385114238658</v>
      </c>
      <c r="D12" s="9">
        <v>3.8458735521991163</v>
      </c>
      <c r="E12" s="9">
        <v>3.8702399264911849</v>
      </c>
      <c r="F12" s="9">
        <v>4.0581634060154235</v>
      </c>
      <c r="G12" s="9">
        <v>4.0456804332060541</v>
      </c>
      <c r="H12" s="9">
        <v>3.9199541017453252</v>
      </c>
      <c r="I12" s="9">
        <v>4.0192837493114038</v>
      </c>
      <c r="J12" s="29">
        <v>4.3256133134069801</v>
      </c>
      <c r="K12" s="9">
        <v>4.0250312002923412</v>
      </c>
      <c r="L12" s="9">
        <v>4.0392075021727871</v>
      </c>
      <c r="M12" s="9">
        <v>4.3183028555682483</v>
      </c>
      <c r="N12" s="9">
        <v>4.1547583331050975</v>
      </c>
      <c r="O12" s="9">
        <v>4.2294060805548828</v>
      </c>
      <c r="P12" s="9">
        <v>4.2683207082205525</v>
      </c>
    </row>
    <row r="13" spans="1:16">
      <c r="A13" s="26">
        <v>12</v>
      </c>
      <c r="B13" s="9">
        <v>3.6660119745278363</v>
      </c>
      <c r="C13" s="9">
        <v>3.8195104508659492</v>
      </c>
      <c r="D13" s="9">
        <v>3.8411536246792131</v>
      </c>
      <c r="E13" s="9">
        <v>3.8812170006614486</v>
      </c>
      <c r="F13" s="9">
        <v>4.2527952208082471</v>
      </c>
      <c r="G13" s="9">
        <v>4.4445861800624673</v>
      </c>
      <c r="H13" s="9">
        <v>4.4636620779110752</v>
      </c>
      <c r="I13" s="9">
        <v>4.5487872732918611</v>
      </c>
      <c r="J13" s="29">
        <v>4.7694746336146174</v>
      </c>
      <c r="K13" s="9">
        <v>4.378843925000484</v>
      </c>
      <c r="L13" s="9">
        <v>4.6539690064937966</v>
      </c>
      <c r="M13" s="9">
        <v>4.6758113963530352</v>
      </c>
      <c r="N13" s="9">
        <v>4.6080392467209306</v>
      </c>
      <c r="O13" s="9">
        <v>4.6152489443338043</v>
      </c>
      <c r="P13" s="9">
        <v>4.2004564382932053</v>
      </c>
    </row>
    <row r="14" spans="1:16">
      <c r="A14" s="26">
        <v>13</v>
      </c>
      <c r="B14" s="9">
        <v>3.675697922169364</v>
      </c>
      <c r="C14" s="9">
        <v>3.9047666405238441</v>
      </c>
      <c r="D14" s="9">
        <v>3.8065951625873597</v>
      </c>
      <c r="E14" s="9">
        <v>3.6070315316428188</v>
      </c>
      <c r="F14" s="9">
        <v>3.3485086000489295</v>
      </c>
      <c r="G14" s="9">
        <v>3.4992600876867557</v>
      </c>
      <c r="H14" s="9">
        <v>3.6838922205707765</v>
      </c>
      <c r="I14" s="9">
        <v>3.596673697067422</v>
      </c>
      <c r="J14" s="29">
        <v>3.8922601796249183</v>
      </c>
      <c r="K14" s="9">
        <v>4.1720845238730275</v>
      </c>
      <c r="L14" s="9">
        <v>3.8449076016277304</v>
      </c>
      <c r="M14" s="9">
        <v>4.031515165319699</v>
      </c>
      <c r="N14" s="9">
        <v>4.1336613501661041</v>
      </c>
      <c r="O14" s="9">
        <v>3.9802295095512776</v>
      </c>
      <c r="P14" s="9">
        <v>4.1738130135043754</v>
      </c>
    </row>
    <row r="15" spans="1:16">
      <c r="A15" s="26">
        <v>14</v>
      </c>
      <c r="B15" s="9">
        <v>3.5786963065861794</v>
      </c>
      <c r="C15" s="9">
        <v>3.3694260668429141</v>
      </c>
      <c r="D15" s="9">
        <v>3.4220638996574522</v>
      </c>
      <c r="E15" s="9">
        <v>3.3983095153387954</v>
      </c>
      <c r="F15" s="9">
        <v>3.2881690964165906</v>
      </c>
      <c r="G15" s="9">
        <v>3.2694499445704546</v>
      </c>
      <c r="H15" s="9">
        <v>3.1461271932587613</v>
      </c>
      <c r="I15" s="9">
        <v>3.2691427075992494</v>
      </c>
      <c r="J15" s="29">
        <v>3.1153526856053975</v>
      </c>
      <c r="K15" s="9">
        <v>3.2074052254259251</v>
      </c>
      <c r="L15" s="9">
        <v>3.230313072122267</v>
      </c>
      <c r="M15" s="9">
        <v>3.2551436964196041</v>
      </c>
      <c r="N15" s="9">
        <v>3.11440697478593</v>
      </c>
      <c r="O15" s="9">
        <v>2.9688108008220184</v>
      </c>
      <c r="P15" s="9">
        <v>3.0238669978940931</v>
      </c>
    </row>
    <row r="16" spans="1:16">
      <c r="A16" s="26">
        <v>15</v>
      </c>
      <c r="B16" s="9">
        <v>3.9123823800705941</v>
      </c>
      <c r="C16" s="9">
        <v>3.7696823929896599</v>
      </c>
      <c r="D16" s="9">
        <v>3.4640163617981012</v>
      </c>
      <c r="E16" s="9">
        <v>3.6278816030065135</v>
      </c>
      <c r="F16" s="9">
        <v>3.7601889841685687</v>
      </c>
      <c r="G16" s="9">
        <v>4.083584976257292</v>
      </c>
      <c r="H16" s="9">
        <v>3.9731717183968658</v>
      </c>
      <c r="I16" s="9">
        <v>3.7930770030560694</v>
      </c>
      <c r="J16" s="29">
        <v>3.6052474235299163</v>
      </c>
      <c r="K16" s="9">
        <v>3.4579855322889594</v>
      </c>
      <c r="L16" s="9">
        <v>3.4688320286981389</v>
      </c>
      <c r="M16" s="9">
        <v>3.5223838990729872</v>
      </c>
      <c r="N16" s="9">
        <v>3.5364847682186324</v>
      </c>
      <c r="O16" s="9">
        <v>3.4518426629021759</v>
      </c>
      <c r="P16" s="9">
        <v>3.6000304160485799</v>
      </c>
    </row>
    <row r="17" spans="1:16">
      <c r="A17" s="26">
        <v>16</v>
      </c>
      <c r="B17" s="9">
        <v>4.0047629399485585</v>
      </c>
      <c r="C17" s="9">
        <v>3.9064332204332968</v>
      </c>
      <c r="D17" s="9">
        <v>4.1067702028153672</v>
      </c>
      <c r="E17" s="9">
        <v>3.8727075281668215</v>
      </c>
      <c r="F17" s="9">
        <v>3.8746078911349557</v>
      </c>
      <c r="G17" s="9">
        <v>3.9668030088504524</v>
      </c>
      <c r="H17" s="9">
        <v>3.8852278030406757</v>
      </c>
      <c r="I17" s="9">
        <v>4.1130667380200876</v>
      </c>
      <c r="J17" s="29">
        <v>4.809663688055644</v>
      </c>
      <c r="K17" s="9">
        <v>5.0427961922403695</v>
      </c>
      <c r="L17" s="9">
        <v>5.2105154763094577</v>
      </c>
      <c r="M17" s="9">
        <v>5.1160197457962937</v>
      </c>
      <c r="N17" s="9">
        <v>5.1770745390184949</v>
      </c>
      <c r="O17" s="9">
        <v>5.1004435976151594</v>
      </c>
      <c r="P17" s="9">
        <v>4.7312414234922651</v>
      </c>
    </row>
    <row r="18" spans="1:16">
      <c r="A18" s="26">
        <v>17</v>
      </c>
      <c r="B18" s="9">
        <v>3.6322685752935198</v>
      </c>
      <c r="C18" s="9">
        <v>3.6736896678978348</v>
      </c>
      <c r="D18" s="9">
        <v>3.8086576979565274</v>
      </c>
      <c r="E18" s="9">
        <v>3.7886424150690625</v>
      </c>
      <c r="F18" s="9">
        <v>4.238617900748733</v>
      </c>
      <c r="G18" s="9">
        <v>4.1162581975610664</v>
      </c>
      <c r="H18" s="9">
        <v>3.8775788766925792</v>
      </c>
      <c r="I18" s="9">
        <v>4.0696066535716353</v>
      </c>
      <c r="J18" s="29">
        <v>4.0789124981923308</v>
      </c>
      <c r="K18" s="9">
        <v>4.0580064129897844</v>
      </c>
      <c r="L18" s="9">
        <v>3.9663772832256408</v>
      </c>
      <c r="M18" s="9">
        <v>3.7523091596766136</v>
      </c>
      <c r="N18" s="9">
        <v>3.866077881095054</v>
      </c>
      <c r="O18" s="9">
        <v>3.8225237670054071</v>
      </c>
      <c r="P18" s="9">
        <v>3.9088128250031073</v>
      </c>
    </row>
    <row r="19" spans="1:16">
      <c r="A19" s="26">
        <v>18</v>
      </c>
      <c r="B19" s="9">
        <v>3.5516163480983018</v>
      </c>
      <c r="C19" s="9">
        <v>3.2193636691163494</v>
      </c>
      <c r="D19" s="9">
        <v>3.447667658263351</v>
      </c>
      <c r="E19" s="9">
        <v>3.7357292027212186</v>
      </c>
      <c r="F19" s="9">
        <v>3.6824217062262345</v>
      </c>
      <c r="G19" s="9">
        <v>3.6561304388547278</v>
      </c>
      <c r="H19" s="9">
        <v>3.8516316572848837</v>
      </c>
      <c r="I19" s="9">
        <v>3.824075699148092</v>
      </c>
      <c r="J19" s="29">
        <v>3.8779319791458655</v>
      </c>
      <c r="K19" s="9">
        <v>4.0608207314514928</v>
      </c>
      <c r="L19" s="9">
        <v>4.2106375890784875</v>
      </c>
      <c r="M19" s="9">
        <v>4.4307416131369353</v>
      </c>
      <c r="N19" s="9">
        <v>4.2531913519034035</v>
      </c>
      <c r="O19" s="9">
        <v>4.2738385183094447</v>
      </c>
      <c r="P19" s="9">
        <v>4.3889821372276341</v>
      </c>
    </row>
    <row r="20" spans="1:16">
      <c r="A20" s="26">
        <v>19</v>
      </c>
      <c r="B20" s="9">
        <v>3.670892129320003</v>
      </c>
      <c r="C20" s="9">
        <v>3.8337480000732831</v>
      </c>
      <c r="D20" s="9">
        <v>4.0666322640508152</v>
      </c>
      <c r="E20" s="9">
        <v>4.4457037995948294</v>
      </c>
      <c r="F20" s="9">
        <v>4.568879566968115</v>
      </c>
      <c r="G20" s="9">
        <v>4.5494519131266884</v>
      </c>
      <c r="H20" s="9">
        <v>4.4726181673046268</v>
      </c>
      <c r="I20" s="9">
        <v>4.5224299604907214</v>
      </c>
      <c r="J20" s="29">
        <v>4.7727239292141155</v>
      </c>
      <c r="K20" s="9">
        <v>4.6578838546164363</v>
      </c>
      <c r="L20" s="9">
        <v>4.4594040766670044</v>
      </c>
      <c r="M20" s="9">
        <v>4.4658449915343175</v>
      </c>
      <c r="N20" s="9">
        <v>4.3844953769644954</v>
      </c>
      <c r="O20" s="9">
        <v>4.4622489926300855</v>
      </c>
      <c r="P20" s="9">
        <v>4.3235669964941197</v>
      </c>
    </row>
    <row r="21" spans="1:16">
      <c r="A21" s="26">
        <v>20</v>
      </c>
      <c r="B21" s="9">
        <v>3.8943453161692085</v>
      </c>
      <c r="C21" s="9">
        <v>3.8735529317601993</v>
      </c>
      <c r="D21" s="9">
        <v>3.6046433501627955</v>
      </c>
      <c r="E21" s="9">
        <v>3.6154067569556427</v>
      </c>
      <c r="F21" s="9">
        <v>3.8503180913564377</v>
      </c>
      <c r="G21" s="9">
        <v>3.7249513029954029</v>
      </c>
      <c r="H21" s="9">
        <v>3.4473812783508917</v>
      </c>
      <c r="I21" s="9">
        <v>3.6927833306929791</v>
      </c>
      <c r="J21" s="29">
        <v>3.8151988484358963</v>
      </c>
      <c r="K21" s="9">
        <v>3.7926453497004751</v>
      </c>
      <c r="L21" s="9">
        <v>4.0631705571933843</v>
      </c>
      <c r="M21" s="9">
        <v>4.0469953726575065</v>
      </c>
      <c r="N21" s="9">
        <v>4.2073729876544599</v>
      </c>
      <c r="O21" s="9">
        <v>4.0405618225955475</v>
      </c>
      <c r="P21" s="9">
        <v>3.8657754636794173</v>
      </c>
    </row>
    <row r="22" spans="1:16">
      <c r="A22" s="26">
        <v>21</v>
      </c>
      <c r="B22" s="9">
        <v>3.859764864842119</v>
      </c>
      <c r="C22" s="9">
        <v>3.807530571691534</v>
      </c>
      <c r="D22" s="9">
        <v>3.5474263017786365</v>
      </c>
      <c r="E22" s="9">
        <v>3.7892795832410386</v>
      </c>
      <c r="F22" s="9">
        <v>3.6615544817064318</v>
      </c>
      <c r="G22" s="9">
        <v>4.0148398235727942</v>
      </c>
      <c r="H22" s="9">
        <v>3.857648240572892</v>
      </c>
      <c r="I22" s="9">
        <v>3.5261198446536408</v>
      </c>
      <c r="J22" s="29">
        <v>3.6285076119820951</v>
      </c>
      <c r="K22" s="9">
        <v>3.4960492274371924</v>
      </c>
      <c r="L22" s="9">
        <v>3.4815454381780087</v>
      </c>
      <c r="M22" s="9">
        <v>3.5943565532327004</v>
      </c>
      <c r="N22" s="9">
        <v>3.55636585303081</v>
      </c>
      <c r="O22" s="9">
        <v>3.5921725176687649</v>
      </c>
      <c r="P22" s="9">
        <v>3.5884805111682301</v>
      </c>
    </row>
    <row r="23" spans="1:16">
      <c r="A23" s="26">
        <v>22</v>
      </c>
      <c r="B23" s="9">
        <v>3.896764238009196</v>
      </c>
      <c r="C23" s="9">
        <v>3.73785435056771</v>
      </c>
      <c r="D23" s="9">
        <v>3.7348057066826819</v>
      </c>
      <c r="E23" s="9">
        <v>3.8171302019301701</v>
      </c>
      <c r="F23" s="9">
        <v>3.8082275795784439</v>
      </c>
      <c r="G23" s="9">
        <v>3.7176009069596456</v>
      </c>
      <c r="H23" s="9">
        <v>3.9237662453353246</v>
      </c>
      <c r="I23" s="9">
        <v>3.6831286109690042</v>
      </c>
      <c r="J23" s="29">
        <v>4.0573816864624925</v>
      </c>
      <c r="K23" s="9">
        <v>3.9082669849364269</v>
      </c>
      <c r="L23" s="9">
        <v>3.8814269311611422</v>
      </c>
      <c r="M23" s="9">
        <v>3.8054449879873671</v>
      </c>
      <c r="N23" s="9">
        <v>3.8480340283325067</v>
      </c>
      <c r="O23" s="9">
        <v>3.7199605976281376</v>
      </c>
      <c r="P23" s="9">
        <v>3.5929275531416418</v>
      </c>
    </row>
    <row r="24" spans="1:16">
      <c r="A24" s="26">
        <v>23</v>
      </c>
      <c r="B24" s="9">
        <v>4.0966118080491905</v>
      </c>
      <c r="C24" s="9">
        <v>3.8595155327421367</v>
      </c>
      <c r="D24" s="9">
        <v>3.7377346817183095</v>
      </c>
      <c r="E24" s="9">
        <v>3.8030986784332712</v>
      </c>
      <c r="F24" s="9">
        <v>3.804162783664454</v>
      </c>
      <c r="G24" s="9">
        <v>3.9743554121927951</v>
      </c>
      <c r="H24" s="9">
        <v>4.1171524239372079</v>
      </c>
      <c r="I24" s="9">
        <v>3.7819776691570164</v>
      </c>
      <c r="J24" s="29">
        <v>3.9203127480702045</v>
      </c>
      <c r="K24" s="9">
        <v>3.899693872127505</v>
      </c>
      <c r="L24" s="9">
        <v>3.7518942668113944</v>
      </c>
      <c r="M24" s="9">
        <v>3.7070080704928139</v>
      </c>
      <c r="N24" s="9">
        <v>3.6012794097600622</v>
      </c>
      <c r="O24" s="9">
        <v>3.287947456595643</v>
      </c>
      <c r="P24" s="9">
        <v>3.1539764728966673</v>
      </c>
    </row>
    <row r="25" spans="1:16">
      <c r="A25" s="26">
        <v>24</v>
      </c>
      <c r="B25" s="9">
        <v>3.8078109187728222</v>
      </c>
      <c r="C25" s="9">
        <v>3.9004558340785715</v>
      </c>
      <c r="D25" s="9">
        <v>3.9102325824258473</v>
      </c>
      <c r="E25" s="9">
        <v>3.9933886112485468</v>
      </c>
      <c r="F25" s="9">
        <v>4.0630092949943934</v>
      </c>
      <c r="G25" s="9">
        <v>4.0221716507585423</v>
      </c>
      <c r="H25" s="9">
        <v>4.109370379977503</v>
      </c>
      <c r="I25" s="9">
        <v>4.0186403296502551</v>
      </c>
      <c r="J25" s="29">
        <v>3.7027133118513205</v>
      </c>
      <c r="K25" s="9">
        <v>3.705221133702076</v>
      </c>
      <c r="L25" s="9">
        <v>3.5668507238936309</v>
      </c>
      <c r="M25" s="9">
        <v>3.4719187250488694</v>
      </c>
      <c r="N25" s="9">
        <v>3.7398268734408799</v>
      </c>
      <c r="O25" s="9">
        <v>3.8211093542736054</v>
      </c>
      <c r="P25" s="9">
        <v>3.6264967630568443</v>
      </c>
    </row>
    <row r="26" spans="1:16">
      <c r="A26" s="26">
        <v>25</v>
      </c>
      <c r="B26" s="9">
        <v>4.1820616430014885</v>
      </c>
      <c r="C26" s="9">
        <v>4.2283423219313621</v>
      </c>
      <c r="D26" s="9">
        <v>4.3608256703423161</v>
      </c>
      <c r="E26" s="9">
        <v>4.3674364208716119</v>
      </c>
      <c r="F26" s="9">
        <v>4.2345208818027738</v>
      </c>
      <c r="G26" s="9">
        <v>4.4328744916584206</v>
      </c>
      <c r="H26" s="9">
        <v>4.8186210903741955</v>
      </c>
      <c r="I26" s="9">
        <v>5.0789078292731098</v>
      </c>
      <c r="J26" s="29">
        <v>4.7787297827099788</v>
      </c>
      <c r="K26" s="9">
        <v>4.9521389761084578</v>
      </c>
      <c r="L26" s="9">
        <v>5.2572533588681143</v>
      </c>
      <c r="M26" s="9">
        <v>4.9199580411404176</v>
      </c>
      <c r="N26" s="9">
        <v>4.8315536583896384</v>
      </c>
      <c r="O26" s="9">
        <v>4.6977047006556134</v>
      </c>
      <c r="P26" s="9">
        <v>4.685765646441272</v>
      </c>
    </row>
    <row r="27" spans="1:16">
      <c r="A27" s="26">
        <v>26</v>
      </c>
      <c r="B27" s="9">
        <v>3.5581250707725984</v>
      </c>
      <c r="C27" s="9">
        <v>3.8179955060665653</v>
      </c>
      <c r="D27" s="9">
        <v>4.0188630578055591</v>
      </c>
      <c r="E27" s="9">
        <v>3.8325772319917295</v>
      </c>
      <c r="F27" s="9">
        <v>3.6833407317205489</v>
      </c>
      <c r="G27" s="9">
        <v>4.010392715553599</v>
      </c>
      <c r="H27" s="9">
        <v>4.3388847754067523</v>
      </c>
      <c r="I27" s="9">
        <v>4.0977331205666099</v>
      </c>
      <c r="J27" s="29">
        <v>3.9636088019599787</v>
      </c>
      <c r="K27" s="9">
        <v>3.9960332433825605</v>
      </c>
      <c r="L27" s="9">
        <v>4.0409949130355356</v>
      </c>
      <c r="M27" s="9">
        <v>3.8364213917592234</v>
      </c>
      <c r="N27" s="9">
        <v>3.939660725665771</v>
      </c>
      <c r="O27" s="9">
        <v>4.4649181377772358</v>
      </c>
      <c r="P27" s="9">
        <v>4.7042099740182666</v>
      </c>
    </row>
    <row r="28" spans="1:16">
      <c r="A28" s="26">
        <v>27</v>
      </c>
      <c r="B28" s="9">
        <v>4.0360140854407858</v>
      </c>
      <c r="C28" s="9">
        <v>4.2696241279759555</v>
      </c>
      <c r="D28" s="9">
        <v>4.0932517460843707</v>
      </c>
      <c r="E28" s="9">
        <v>4.3262831536135193</v>
      </c>
      <c r="F28" s="9">
        <v>4.1411666924123613</v>
      </c>
      <c r="G28" s="9">
        <v>4.0708771820135405</v>
      </c>
      <c r="H28" s="9">
        <v>4.0231656624772185</v>
      </c>
      <c r="I28" s="9">
        <v>4.1396521118649341</v>
      </c>
      <c r="J28" s="29">
        <v>4.0035320457667316</v>
      </c>
      <c r="K28" s="9">
        <v>4.0134646271925005</v>
      </c>
      <c r="L28" s="9">
        <v>3.9645423158034161</v>
      </c>
      <c r="M28" s="9">
        <v>4.0629781474402602</v>
      </c>
      <c r="N28" s="9">
        <v>3.9614431290132921</v>
      </c>
      <c r="O28" s="9">
        <v>3.8662737373251517</v>
      </c>
      <c r="P28" s="9">
        <v>3.9381488094349026</v>
      </c>
    </row>
    <row r="29" spans="1:16">
      <c r="A29" s="26">
        <v>28</v>
      </c>
      <c r="B29" s="9">
        <v>4.2873801349879486</v>
      </c>
      <c r="C29" s="9">
        <v>4.2124674156437347</v>
      </c>
      <c r="D29" s="9">
        <v>4.2610502435760438</v>
      </c>
      <c r="E29" s="9">
        <v>4.7038796069879973</v>
      </c>
      <c r="F29" s="9">
        <v>4.5298254929603994</v>
      </c>
      <c r="G29" s="9">
        <v>4.4331324762224744</v>
      </c>
      <c r="H29" s="9">
        <v>4.4047140743263382</v>
      </c>
      <c r="I29" s="9">
        <v>4.3381173282719381</v>
      </c>
      <c r="J29" s="29">
        <v>4.3592956693899056</v>
      </c>
      <c r="K29" s="9">
        <v>4.1995561099007377</v>
      </c>
      <c r="L29" s="9">
        <v>4.5337791029782011</v>
      </c>
      <c r="M29" s="9">
        <v>4.4698538817139406</v>
      </c>
      <c r="N29" s="9">
        <v>4.7607086268352496</v>
      </c>
      <c r="O29" s="9">
        <v>4.6526626394387307</v>
      </c>
      <c r="P29" s="9">
        <v>4.8210645064758779</v>
      </c>
    </row>
    <row r="30" spans="1:16">
      <c r="A30" s="26">
        <v>29</v>
      </c>
      <c r="B30" s="9">
        <v>4.0536894610140459</v>
      </c>
      <c r="C30" s="9">
        <v>4.2485855716282801</v>
      </c>
      <c r="D30" s="9">
        <v>3.8866869941204913</v>
      </c>
      <c r="E30" s="9">
        <v>3.8432216129990824</v>
      </c>
      <c r="F30" s="9">
        <v>4.0611544790549683</v>
      </c>
      <c r="G30" s="9">
        <v>4.3919831303995291</v>
      </c>
      <c r="H30" s="9">
        <v>4.1543354289138472</v>
      </c>
      <c r="I30" s="9">
        <v>4.3048437513037392</v>
      </c>
      <c r="J30" s="29">
        <v>4.2841946679198379</v>
      </c>
      <c r="K30" s="9">
        <v>4.0593820371832861</v>
      </c>
      <c r="L30" s="9">
        <v>4.3453385766350898</v>
      </c>
      <c r="M30" s="9">
        <v>4.7904950957526138</v>
      </c>
      <c r="N30" s="9">
        <v>4.8492830425333704</v>
      </c>
      <c r="O30" s="9">
        <v>4.86367428878214</v>
      </c>
      <c r="P30" s="9">
        <v>5.0289998562299294</v>
      </c>
    </row>
    <row r="31" spans="1:16">
      <c r="A31" s="26">
        <v>30</v>
      </c>
      <c r="B31" s="9">
        <v>4.0869876725426044</v>
      </c>
      <c r="C31" s="9">
        <v>4.2109546198183621</v>
      </c>
      <c r="D31" s="9">
        <v>4.2565710971890782</v>
      </c>
      <c r="E31" s="9">
        <v>4.6081821304480153</v>
      </c>
      <c r="F31" s="9">
        <v>4.5831964973381512</v>
      </c>
      <c r="G31" s="9">
        <v>4.4456691908000678</v>
      </c>
      <c r="H31" s="9">
        <v>4.4596991574946108</v>
      </c>
      <c r="I31" s="9">
        <v>4.465711564922354</v>
      </c>
      <c r="J31" s="29">
        <v>4.3044738993204632</v>
      </c>
      <c r="K31" s="9">
        <v>4.1624294801841115</v>
      </c>
      <c r="L31" s="9">
        <v>4.3139499172688271</v>
      </c>
      <c r="M31" s="9">
        <v>3.9174351131555731</v>
      </c>
      <c r="N31" s="9">
        <v>4.0594086882212794</v>
      </c>
      <c r="O31" s="9">
        <v>3.8148481130447047</v>
      </c>
      <c r="P31" s="9">
        <v>3.868230269783405</v>
      </c>
    </row>
  </sheetData>
  <phoneticPr fontId="2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10.800303562105825</v>
      </c>
      <c r="C2" s="9">
        <v>10.278867602541508</v>
      </c>
      <c r="D2" s="9">
        <v>10.249794103557129</v>
      </c>
      <c r="E2" s="9">
        <v>10.044963533788966</v>
      </c>
      <c r="F2" s="9">
        <v>9.8177313533697017</v>
      </c>
      <c r="G2" s="9">
        <v>10.095691256271964</v>
      </c>
      <c r="H2" s="9">
        <v>9.8135597007823527</v>
      </c>
      <c r="I2" s="9">
        <v>9.9234173274591324</v>
      </c>
      <c r="J2" s="29">
        <v>9.988667481555435</v>
      </c>
      <c r="K2" s="9">
        <v>10.037369388142533</v>
      </c>
      <c r="L2" s="9">
        <v>9.8220710653714498</v>
      </c>
      <c r="M2" s="9">
        <v>9.6921356978851065</v>
      </c>
      <c r="N2" s="9">
        <v>9.9948837727988753</v>
      </c>
      <c r="O2" s="9">
        <v>10.314042723479544</v>
      </c>
      <c r="P2" s="9">
        <v>10.635177713942417</v>
      </c>
    </row>
    <row r="3" spans="1:16">
      <c r="A3" s="26">
        <v>2</v>
      </c>
      <c r="B3" s="9">
        <v>10.386083796395912</v>
      </c>
      <c r="C3" s="9">
        <v>10.499639115004866</v>
      </c>
      <c r="D3" s="9">
        <v>10.125178599671871</v>
      </c>
      <c r="E3" s="9">
        <v>9.4811534114011504</v>
      </c>
      <c r="F3" s="9">
        <v>9.3254956712472907</v>
      </c>
      <c r="G3" s="9">
        <v>9.2263755400545637</v>
      </c>
      <c r="H3" s="9">
        <v>9.1455267270770086</v>
      </c>
      <c r="I3" s="9">
        <v>9.4316854184913517</v>
      </c>
      <c r="J3" s="29">
        <v>9.0678357085203825</v>
      </c>
      <c r="K3" s="9">
        <v>8.9708148012024029</v>
      </c>
      <c r="L3" s="9">
        <v>9.0946607367657499</v>
      </c>
      <c r="M3" s="9">
        <v>9.5899698248096588</v>
      </c>
      <c r="N3" s="9">
        <v>9.3583153419738156</v>
      </c>
      <c r="O3" s="9">
        <v>9.3506110853800148</v>
      </c>
      <c r="P3" s="9">
        <v>9.1571196251771134</v>
      </c>
    </row>
    <row r="4" spans="1:16">
      <c r="A4" s="26">
        <v>3</v>
      </c>
      <c r="B4" s="9">
        <v>11.111880068641193</v>
      </c>
      <c r="C4" s="9">
        <v>10.733118548345621</v>
      </c>
      <c r="D4" s="9">
        <v>10.534532232969193</v>
      </c>
      <c r="E4" s="9">
        <v>10.712204869106948</v>
      </c>
      <c r="F4" s="9">
        <v>11.143620714883584</v>
      </c>
      <c r="G4" s="9">
        <v>11.613056422010835</v>
      </c>
      <c r="H4" s="9">
        <v>11.438896539698275</v>
      </c>
      <c r="I4" s="9">
        <v>10.928545315660612</v>
      </c>
      <c r="J4" s="29">
        <v>11.01533117797927</v>
      </c>
      <c r="K4" s="9">
        <v>11.189696178055577</v>
      </c>
      <c r="L4" s="9">
        <v>11.54855974953704</v>
      </c>
      <c r="M4" s="9">
        <v>11.421116852996088</v>
      </c>
      <c r="N4" s="9">
        <v>11.275860276580554</v>
      </c>
      <c r="O4" s="9">
        <v>11.597641696200649</v>
      </c>
      <c r="P4" s="9">
        <v>11.720965898991116</v>
      </c>
    </row>
    <row r="5" spans="1:16">
      <c r="A5" s="26">
        <v>4</v>
      </c>
      <c r="B5" s="9">
        <v>10.564953103440669</v>
      </c>
      <c r="C5" s="9">
        <v>10.119233449169682</v>
      </c>
      <c r="D5" s="9">
        <v>9.986229339402465</v>
      </c>
      <c r="E5" s="9">
        <v>9.7862477371788845</v>
      </c>
      <c r="F5" s="9">
        <v>9.5889639074046471</v>
      </c>
      <c r="G5" s="9">
        <v>9.8145039483209029</v>
      </c>
      <c r="H5" s="9">
        <v>10.17326302497089</v>
      </c>
      <c r="I5" s="9">
        <v>10.278585292678716</v>
      </c>
      <c r="J5" s="29">
        <v>10.534998139137087</v>
      </c>
      <c r="K5" s="9">
        <v>10.443190075090916</v>
      </c>
      <c r="L5" s="9">
        <v>10.386316789705864</v>
      </c>
      <c r="M5" s="9">
        <v>10.825969470104512</v>
      </c>
      <c r="N5" s="9">
        <v>11.038394709435856</v>
      </c>
      <c r="O5" s="9">
        <v>10.841248057768173</v>
      </c>
      <c r="P5" s="9">
        <v>11.49559061472409</v>
      </c>
    </row>
    <row r="6" spans="1:16">
      <c r="A6" s="26">
        <v>5</v>
      </c>
      <c r="B6" s="9">
        <v>10.458210599986408</v>
      </c>
      <c r="C6" s="9">
        <v>9.9584836394877474</v>
      </c>
      <c r="D6" s="9">
        <v>10.463581444086378</v>
      </c>
      <c r="E6" s="9">
        <v>10.425159808962016</v>
      </c>
      <c r="F6" s="9">
        <v>10.503221274792052</v>
      </c>
      <c r="G6" s="9">
        <v>10.356603492008908</v>
      </c>
      <c r="H6" s="9">
        <v>10.739913180344352</v>
      </c>
      <c r="I6" s="9">
        <v>10.925484407789616</v>
      </c>
      <c r="J6" s="29">
        <v>10.748363636113195</v>
      </c>
      <c r="K6" s="9">
        <v>10.582907324436256</v>
      </c>
      <c r="L6" s="9">
        <v>10.677706682253518</v>
      </c>
      <c r="M6" s="9">
        <v>10.713735618492436</v>
      </c>
      <c r="N6" s="9">
        <v>10.489632927232183</v>
      </c>
      <c r="O6" s="9">
        <v>10.551883984266119</v>
      </c>
      <c r="P6" s="9">
        <v>10.218549814299891</v>
      </c>
    </row>
    <row r="7" spans="1:16">
      <c r="A7" s="26">
        <v>6</v>
      </c>
      <c r="B7" s="9">
        <v>11.114266511068671</v>
      </c>
      <c r="C7" s="9">
        <v>11.485712459732758</v>
      </c>
      <c r="D7" s="9">
        <v>11.669148308647268</v>
      </c>
      <c r="E7" s="9">
        <v>11.160893368544421</v>
      </c>
      <c r="F7" s="9">
        <v>11.084319791544919</v>
      </c>
      <c r="G7" s="9">
        <v>10.866819264330944</v>
      </c>
      <c r="H7" s="9">
        <v>10.919346064294883</v>
      </c>
      <c r="I7" s="9">
        <v>11.090718729542999</v>
      </c>
      <c r="J7" s="29">
        <v>11.61401860940941</v>
      </c>
      <c r="K7" s="9">
        <v>11.47956572152064</v>
      </c>
      <c r="L7" s="9">
        <v>11.200748570667313</v>
      </c>
      <c r="M7" s="9">
        <v>11.531205563908467</v>
      </c>
      <c r="N7" s="9">
        <v>11.84713238511622</v>
      </c>
      <c r="O7" s="9">
        <v>11.915150550644622</v>
      </c>
      <c r="P7" s="9">
        <v>11.795594306484876</v>
      </c>
    </row>
    <row r="8" spans="1:16">
      <c r="A8" s="26">
        <v>7</v>
      </c>
      <c r="B8" s="9">
        <v>10.37562341880699</v>
      </c>
      <c r="C8" s="9">
        <v>10.604344408581571</v>
      </c>
      <c r="D8" s="9">
        <v>10.921646384525497</v>
      </c>
      <c r="E8" s="9">
        <v>11.562694018728804</v>
      </c>
      <c r="F8" s="9">
        <v>10.889549897464999</v>
      </c>
      <c r="G8" s="9">
        <v>11.199518147902527</v>
      </c>
      <c r="H8" s="9">
        <v>11.208061244997344</v>
      </c>
      <c r="I8" s="9">
        <v>11.347159721593609</v>
      </c>
      <c r="J8" s="29">
        <v>11.19012464549261</v>
      </c>
      <c r="K8" s="9">
        <v>11.182286432354648</v>
      </c>
      <c r="L8" s="9">
        <v>11.214496495473087</v>
      </c>
      <c r="M8" s="9">
        <v>11.198687057057549</v>
      </c>
      <c r="N8" s="9">
        <v>11.288433722600169</v>
      </c>
      <c r="O8" s="9">
        <v>11.258540868360145</v>
      </c>
      <c r="P8" s="9">
        <v>11.563273731041626</v>
      </c>
    </row>
    <row r="9" spans="1:16">
      <c r="A9" s="26">
        <v>8</v>
      </c>
      <c r="B9" s="9">
        <v>10.480831620247203</v>
      </c>
      <c r="C9" s="9">
        <v>11.065953302535711</v>
      </c>
      <c r="D9" s="9">
        <v>11.086674588365728</v>
      </c>
      <c r="E9" s="9">
        <v>10.999565764163288</v>
      </c>
      <c r="F9" s="9">
        <v>11.218858547769951</v>
      </c>
      <c r="G9" s="9">
        <v>11.317042842643207</v>
      </c>
      <c r="H9" s="9">
        <v>11.065340834001423</v>
      </c>
      <c r="I9" s="9">
        <v>10.214338580737634</v>
      </c>
      <c r="J9" s="29">
        <v>10.566225121181596</v>
      </c>
      <c r="K9" s="9">
        <v>10.20633830968389</v>
      </c>
      <c r="L9" s="9">
        <v>10.015425663745937</v>
      </c>
      <c r="M9" s="9">
        <v>10.247762670507592</v>
      </c>
      <c r="N9" s="9">
        <v>10.202895233398779</v>
      </c>
      <c r="O9" s="9">
        <v>9.8670363247369082</v>
      </c>
      <c r="P9" s="9">
        <v>10.293564071722056</v>
      </c>
    </row>
    <row r="10" spans="1:16">
      <c r="A10" s="26">
        <v>9</v>
      </c>
      <c r="B10" s="9">
        <v>10.252268886723641</v>
      </c>
      <c r="C10" s="9">
        <v>10.530889685033202</v>
      </c>
      <c r="D10" s="9">
        <v>10.483505878120759</v>
      </c>
      <c r="E10" s="9">
        <v>9.7875638143068695</v>
      </c>
      <c r="F10" s="9">
        <v>9.9011345319699675</v>
      </c>
      <c r="G10" s="9">
        <v>10.048026718662383</v>
      </c>
      <c r="H10" s="9">
        <v>10.142168009270739</v>
      </c>
      <c r="I10" s="9">
        <v>9.9697270416578334</v>
      </c>
      <c r="J10" s="29">
        <v>10.094325326985937</v>
      </c>
      <c r="K10" s="9">
        <v>10.857205733113249</v>
      </c>
      <c r="L10" s="9">
        <v>10.50728225527633</v>
      </c>
      <c r="M10" s="9">
        <v>10.603179962644035</v>
      </c>
      <c r="N10" s="9">
        <v>10.978416817929647</v>
      </c>
      <c r="O10" s="9">
        <v>10.794528031658759</v>
      </c>
      <c r="P10" s="9">
        <v>11.1405881783478</v>
      </c>
    </row>
    <row r="11" spans="1:16">
      <c r="A11" s="26">
        <v>10</v>
      </c>
      <c r="B11" s="9">
        <v>10.804786578715333</v>
      </c>
      <c r="C11" s="9">
        <v>10.584384881267546</v>
      </c>
      <c r="D11" s="9">
        <v>10.725776094804784</v>
      </c>
      <c r="E11" s="9">
        <v>10.56486679751306</v>
      </c>
      <c r="F11" s="9">
        <v>10.582933289389649</v>
      </c>
      <c r="G11" s="9">
        <v>10.886111235869478</v>
      </c>
      <c r="H11" s="9">
        <v>10.546814829856014</v>
      </c>
      <c r="I11" s="9">
        <v>10.887024176988394</v>
      </c>
      <c r="J11" s="29">
        <v>10.296078014640631</v>
      </c>
      <c r="K11" s="9">
        <v>10.897927754497998</v>
      </c>
      <c r="L11" s="9">
        <v>11.075999299278978</v>
      </c>
      <c r="M11" s="9">
        <v>10.663103874210121</v>
      </c>
      <c r="N11" s="9">
        <v>11.105931537929486</v>
      </c>
      <c r="O11" s="9">
        <v>11.271690468082873</v>
      </c>
      <c r="P11" s="9">
        <v>11.404684636557834</v>
      </c>
    </row>
    <row r="12" spans="1:16">
      <c r="A12" s="26">
        <v>11</v>
      </c>
      <c r="B12" s="9">
        <v>10.578479928209216</v>
      </c>
      <c r="C12" s="9">
        <v>10.352404124916674</v>
      </c>
      <c r="D12" s="9">
        <v>10.465317948036136</v>
      </c>
      <c r="E12" s="9">
        <v>10.426557891583379</v>
      </c>
      <c r="F12" s="9">
        <v>9.6905851261541454</v>
      </c>
      <c r="G12" s="9">
        <v>9.9016490705345515</v>
      </c>
      <c r="H12" s="9">
        <v>10.419770924960256</v>
      </c>
      <c r="I12" s="9">
        <v>10.857852572306571</v>
      </c>
      <c r="J12" s="29">
        <v>10.915538312215714</v>
      </c>
      <c r="K12" s="9">
        <v>10.962815436849356</v>
      </c>
      <c r="L12" s="9">
        <v>11.327548535720659</v>
      </c>
      <c r="M12" s="9">
        <v>11.327790833489981</v>
      </c>
      <c r="N12" s="9">
        <v>11.686447769584474</v>
      </c>
      <c r="O12" s="9">
        <v>11.805543129629882</v>
      </c>
      <c r="P12" s="9">
        <v>11.821727445043926</v>
      </c>
    </row>
    <row r="13" spans="1:16">
      <c r="A13" s="26">
        <v>12</v>
      </c>
      <c r="B13" s="9">
        <v>10.554920519944728</v>
      </c>
      <c r="C13" s="9">
        <v>10.761454008993001</v>
      </c>
      <c r="D13" s="9">
        <v>10.756616935120674</v>
      </c>
      <c r="E13" s="9">
        <v>10.768177333652311</v>
      </c>
      <c r="F13" s="9">
        <v>11.215719043044437</v>
      </c>
      <c r="G13" s="9">
        <v>11.377736381269058</v>
      </c>
      <c r="H13" s="9">
        <v>11.928969510436756</v>
      </c>
      <c r="I13" s="9">
        <v>12.198065263733694</v>
      </c>
      <c r="J13" s="29">
        <v>12.587977951695336</v>
      </c>
      <c r="K13" s="9">
        <v>12.687573858494062</v>
      </c>
      <c r="L13" s="9">
        <v>12.731724679634761</v>
      </c>
      <c r="M13" s="9">
        <v>12.939881322627238</v>
      </c>
      <c r="N13" s="9">
        <v>13.347939839952913</v>
      </c>
      <c r="O13" s="9">
        <v>12.768176470501409</v>
      </c>
      <c r="P13" s="9">
        <v>12.787109761591083</v>
      </c>
    </row>
    <row r="14" spans="1:16">
      <c r="A14" s="26">
        <v>13</v>
      </c>
      <c r="B14" s="9">
        <v>10.565139399179374</v>
      </c>
      <c r="C14" s="9">
        <v>10.811952871352423</v>
      </c>
      <c r="D14" s="9">
        <v>11.26007259842175</v>
      </c>
      <c r="E14" s="9">
        <v>11.761158605674263</v>
      </c>
      <c r="F14" s="9">
        <v>11.982158093441669</v>
      </c>
      <c r="G14" s="9">
        <v>11.569602228159436</v>
      </c>
      <c r="H14" s="9">
        <v>11.559071717539354</v>
      </c>
      <c r="I14" s="9">
        <v>11.464848409018753</v>
      </c>
      <c r="J14" s="29">
        <v>11.633652846342844</v>
      </c>
      <c r="K14" s="9">
        <v>11.944256010879201</v>
      </c>
      <c r="L14" s="9">
        <v>11.730878239593908</v>
      </c>
      <c r="M14" s="9">
        <v>11.445924245961697</v>
      </c>
      <c r="N14" s="9">
        <v>11.662546952982934</v>
      </c>
      <c r="O14" s="9">
        <v>11.185053004211778</v>
      </c>
      <c r="P14" s="9">
        <v>11.907771459245565</v>
      </c>
    </row>
    <row r="15" spans="1:16">
      <c r="A15" s="26">
        <v>14</v>
      </c>
      <c r="B15" s="9">
        <v>11.078633649567859</v>
      </c>
      <c r="C15" s="9">
        <v>10.701840793904662</v>
      </c>
      <c r="D15" s="9">
        <v>11.141918070498162</v>
      </c>
      <c r="E15" s="9">
        <v>11.520746119618892</v>
      </c>
      <c r="F15" s="9">
        <v>11.419444680425094</v>
      </c>
      <c r="G15" s="9">
        <v>11.67324038374052</v>
      </c>
      <c r="H15" s="9">
        <v>11.419261670577214</v>
      </c>
      <c r="I15" s="9">
        <v>11.804332858149564</v>
      </c>
      <c r="J15" s="29">
        <v>11.669902824391562</v>
      </c>
      <c r="K15" s="9">
        <v>11.556744280206274</v>
      </c>
      <c r="L15" s="9">
        <v>11.729674105354839</v>
      </c>
      <c r="M15" s="9">
        <v>11.871786141486794</v>
      </c>
      <c r="N15" s="9">
        <v>12.559923273517274</v>
      </c>
      <c r="O15" s="9">
        <v>12.415897620151439</v>
      </c>
      <c r="P15" s="9">
        <v>12.16842633665301</v>
      </c>
    </row>
    <row r="16" spans="1:16">
      <c r="A16" s="26">
        <v>15</v>
      </c>
      <c r="B16" s="9">
        <v>11.008119117690027</v>
      </c>
      <c r="C16" s="9">
        <v>10.978557685465747</v>
      </c>
      <c r="D16" s="9">
        <v>10.803851062325926</v>
      </c>
      <c r="E16" s="9">
        <v>10.950990524967201</v>
      </c>
      <c r="F16" s="9">
        <v>10.812080711211502</v>
      </c>
      <c r="G16" s="9">
        <v>10.871949938349989</v>
      </c>
      <c r="H16" s="9">
        <v>10.59365500944523</v>
      </c>
      <c r="I16" s="9">
        <v>10.330615367353492</v>
      </c>
      <c r="J16" s="29">
        <v>10.819315018145479</v>
      </c>
      <c r="K16" s="9">
        <v>11.065725715646989</v>
      </c>
      <c r="L16" s="9">
        <v>10.843853736728363</v>
      </c>
      <c r="M16" s="9">
        <v>10.652298695024649</v>
      </c>
      <c r="N16" s="9">
        <v>10.491953630766572</v>
      </c>
      <c r="O16" s="9">
        <v>10.567209796514122</v>
      </c>
      <c r="P16" s="9">
        <v>10.945745887089167</v>
      </c>
    </row>
    <row r="17" spans="1:16">
      <c r="A17" s="26">
        <v>16</v>
      </c>
      <c r="B17" s="9">
        <v>10.850533223926114</v>
      </c>
      <c r="C17" s="9">
        <v>10.907818381869284</v>
      </c>
      <c r="D17" s="9">
        <v>10.797403969015205</v>
      </c>
      <c r="E17" s="9">
        <v>10.911901671589138</v>
      </c>
      <c r="F17" s="9">
        <v>11.514669561234228</v>
      </c>
      <c r="G17" s="9">
        <v>11.90139341160636</v>
      </c>
      <c r="H17" s="9">
        <v>11.986482169139824</v>
      </c>
      <c r="I17" s="9">
        <v>12.07185682378225</v>
      </c>
      <c r="J17" s="29">
        <v>11.825638556455912</v>
      </c>
      <c r="K17" s="9">
        <v>11.816654174490035</v>
      </c>
      <c r="L17" s="9">
        <v>12.328457946315135</v>
      </c>
      <c r="M17" s="9">
        <v>12.287999703049609</v>
      </c>
      <c r="N17" s="9">
        <v>11.948249056589571</v>
      </c>
      <c r="O17" s="9">
        <v>12.385709235913769</v>
      </c>
      <c r="P17" s="9">
        <v>12.972884267248254</v>
      </c>
    </row>
    <row r="18" spans="1:16">
      <c r="A18" s="26">
        <v>17</v>
      </c>
      <c r="B18" s="9">
        <v>10.686462296577938</v>
      </c>
      <c r="C18" s="9">
        <v>10.472753859515647</v>
      </c>
      <c r="D18" s="9">
        <v>10.320042509035284</v>
      </c>
      <c r="E18" s="9">
        <v>10.015540741061226</v>
      </c>
      <c r="F18" s="9">
        <v>9.9464903309060873</v>
      </c>
      <c r="G18" s="9">
        <v>9.4589426632386413</v>
      </c>
      <c r="H18" s="9">
        <v>9.5708003234978332</v>
      </c>
      <c r="I18" s="9">
        <v>9.8361881172815639</v>
      </c>
      <c r="J18" s="29">
        <v>10.346503387736085</v>
      </c>
      <c r="K18" s="9">
        <v>10.419271865077389</v>
      </c>
      <c r="L18" s="9">
        <v>10.755661526588849</v>
      </c>
      <c r="M18" s="9">
        <v>10.442919896159571</v>
      </c>
      <c r="N18" s="9">
        <v>10.642854547233098</v>
      </c>
      <c r="O18" s="9">
        <v>10.820546868594317</v>
      </c>
      <c r="P18" s="9">
        <v>10.870461619873266</v>
      </c>
    </row>
    <row r="19" spans="1:16">
      <c r="A19" s="26">
        <v>18</v>
      </c>
      <c r="B19" s="9">
        <v>10.967075486783603</v>
      </c>
      <c r="C19" s="9">
        <v>11.046928708245584</v>
      </c>
      <c r="D19" s="9">
        <v>11.008874568677793</v>
      </c>
      <c r="E19" s="9">
        <v>11.317159709972676</v>
      </c>
      <c r="F19" s="9">
        <v>11.112499357649655</v>
      </c>
      <c r="G19" s="9">
        <v>11.035582780854195</v>
      </c>
      <c r="H19" s="9">
        <v>10.428046488289578</v>
      </c>
      <c r="I19" s="9">
        <v>10.088432123281621</v>
      </c>
      <c r="J19" s="29">
        <v>10.193152394482347</v>
      </c>
      <c r="K19" s="9">
        <v>10.026284629568627</v>
      </c>
      <c r="L19" s="9">
        <v>9.697725930793359</v>
      </c>
      <c r="M19" s="9">
        <v>9.8061572502500898</v>
      </c>
      <c r="N19" s="9">
        <v>9.9794616723816656</v>
      </c>
      <c r="O19" s="9">
        <v>9.863363478857492</v>
      </c>
      <c r="P19" s="9">
        <v>10.421616144736083</v>
      </c>
    </row>
    <row r="20" spans="1:16">
      <c r="A20" s="26">
        <v>19</v>
      </c>
      <c r="B20" s="9">
        <v>10.597828811530885</v>
      </c>
      <c r="C20" s="9">
        <v>10.066993372144347</v>
      </c>
      <c r="D20" s="9">
        <v>10.25457013746426</v>
      </c>
      <c r="E20" s="9">
        <v>10.390403845347471</v>
      </c>
      <c r="F20" s="9">
        <v>10.381779399377201</v>
      </c>
      <c r="G20" s="9">
        <v>10.520791614074023</v>
      </c>
      <c r="H20" s="9">
        <v>10.642696783467743</v>
      </c>
      <c r="I20" s="9">
        <v>10.817793455807402</v>
      </c>
      <c r="J20" s="29">
        <v>10.869505888147128</v>
      </c>
      <c r="K20" s="9">
        <v>11.141620792313679</v>
      </c>
      <c r="L20" s="9">
        <v>10.605651552807034</v>
      </c>
      <c r="M20" s="9">
        <v>10.96164356240191</v>
      </c>
      <c r="N20" s="9">
        <v>10.798809770672657</v>
      </c>
      <c r="O20" s="9">
        <v>10.624351277858606</v>
      </c>
      <c r="P20" s="9">
        <v>10.924261841397161</v>
      </c>
    </row>
    <row r="21" spans="1:16">
      <c r="A21" s="26">
        <v>20</v>
      </c>
      <c r="B21" s="9">
        <v>11.042893060651943</v>
      </c>
      <c r="C21" s="9">
        <v>11.384570208099442</v>
      </c>
      <c r="D21" s="9">
        <v>11.41586572389317</v>
      </c>
      <c r="E21" s="9">
        <v>11.363015385637267</v>
      </c>
      <c r="F21" s="9">
        <v>11.208988410694847</v>
      </c>
      <c r="G21" s="9">
        <v>10.809139541187504</v>
      </c>
      <c r="H21" s="9">
        <v>10.710353560185542</v>
      </c>
      <c r="I21" s="9">
        <v>10.796294362272969</v>
      </c>
      <c r="J21" s="29">
        <v>10.722441781055171</v>
      </c>
      <c r="K21" s="9">
        <v>10.552250199988892</v>
      </c>
      <c r="L21" s="9">
        <v>10.265281354219004</v>
      </c>
      <c r="M21" s="9">
        <v>10.613277436712341</v>
      </c>
      <c r="N21" s="9">
        <v>10.039379929168055</v>
      </c>
      <c r="O21" s="9">
        <v>9.5594522992229827</v>
      </c>
      <c r="P21" s="9">
        <v>9.5850653182138519</v>
      </c>
    </row>
    <row r="22" spans="1:16">
      <c r="A22" s="26">
        <v>21</v>
      </c>
      <c r="B22" s="9">
        <v>10.043343387278581</v>
      </c>
      <c r="C22" s="9">
        <v>10.306180889719174</v>
      </c>
      <c r="D22" s="9">
        <v>10.105390526650735</v>
      </c>
      <c r="E22" s="9">
        <v>10.31367615292058</v>
      </c>
      <c r="F22" s="9">
        <v>10.352807194967362</v>
      </c>
      <c r="G22" s="9">
        <v>10.91609833482854</v>
      </c>
      <c r="H22" s="9">
        <v>10.437124706102763</v>
      </c>
      <c r="I22" s="9">
        <v>10.278123702603533</v>
      </c>
      <c r="J22" s="29">
        <v>10.133950351238152</v>
      </c>
      <c r="K22" s="9">
        <v>10.346105768542708</v>
      </c>
      <c r="L22" s="9">
        <v>10.214989348016852</v>
      </c>
      <c r="M22" s="9">
        <v>10.389824553580802</v>
      </c>
      <c r="N22" s="9">
        <v>10.449422155793451</v>
      </c>
      <c r="O22" s="9">
        <v>10.773836780551193</v>
      </c>
      <c r="P22" s="9">
        <v>10.574603599358944</v>
      </c>
    </row>
    <row r="23" spans="1:16">
      <c r="A23" s="26">
        <v>22</v>
      </c>
      <c r="B23" s="9">
        <v>10.781666982092698</v>
      </c>
      <c r="C23" s="9">
        <v>10.648058291023194</v>
      </c>
      <c r="D23" s="9">
        <v>10.578803818079884</v>
      </c>
      <c r="E23" s="9">
        <v>10.513830489575351</v>
      </c>
      <c r="F23" s="9">
        <v>9.9783313874422124</v>
      </c>
      <c r="G23" s="9">
        <v>10.69645500056304</v>
      </c>
      <c r="H23" s="9">
        <v>10.908907717436149</v>
      </c>
      <c r="I23" s="9">
        <v>11.058765922839898</v>
      </c>
      <c r="J23" s="29">
        <v>11.277737118118248</v>
      </c>
      <c r="K23" s="9">
        <v>10.913211855706672</v>
      </c>
      <c r="L23" s="9">
        <v>10.436058911901805</v>
      </c>
      <c r="M23" s="9">
        <v>10.229169977463016</v>
      </c>
      <c r="N23" s="9">
        <v>10.679525113260603</v>
      </c>
      <c r="O23" s="9">
        <v>10.459128769767622</v>
      </c>
      <c r="P23" s="9">
        <v>10.350833986998847</v>
      </c>
    </row>
    <row r="24" spans="1:16">
      <c r="A24" s="26">
        <v>23</v>
      </c>
      <c r="B24" s="9">
        <v>10.756899966705548</v>
      </c>
      <c r="C24" s="9">
        <v>10.805290990466791</v>
      </c>
      <c r="D24" s="9">
        <v>10.981955421622796</v>
      </c>
      <c r="E24" s="9">
        <v>10.63892584770316</v>
      </c>
      <c r="F24" s="9">
        <v>10.586214471629136</v>
      </c>
      <c r="G24" s="9">
        <v>10.579994450483687</v>
      </c>
      <c r="H24" s="9">
        <v>10.836177624323284</v>
      </c>
      <c r="I24" s="9">
        <v>11.113778914911151</v>
      </c>
      <c r="J24" s="29">
        <v>11.107687658404016</v>
      </c>
      <c r="K24" s="9">
        <v>10.767306013858596</v>
      </c>
      <c r="L24" s="9">
        <v>11.05522184262639</v>
      </c>
      <c r="M24" s="9">
        <v>11.079185944807861</v>
      </c>
      <c r="N24" s="9">
        <v>11.289176539118017</v>
      </c>
      <c r="O24" s="9">
        <v>11.412615147770856</v>
      </c>
      <c r="P24" s="9">
        <v>11.82682538090712</v>
      </c>
    </row>
    <row r="25" spans="1:16">
      <c r="A25" s="26">
        <v>24</v>
      </c>
      <c r="B25" s="9">
        <v>11.115770426255461</v>
      </c>
      <c r="C25" s="9">
        <v>11.340433749614609</v>
      </c>
      <c r="D25" s="9">
        <v>11.21280384305779</v>
      </c>
      <c r="E25" s="9">
        <v>11.665486262960785</v>
      </c>
      <c r="F25" s="9">
        <v>11.666419393458405</v>
      </c>
      <c r="G25" s="9">
        <v>11.759022662983654</v>
      </c>
      <c r="H25" s="9">
        <v>11.701748565349433</v>
      </c>
      <c r="I25" s="9">
        <v>11.53932502774339</v>
      </c>
      <c r="J25" s="29">
        <v>12.001669060053855</v>
      </c>
      <c r="K25" s="9">
        <v>12.223507359576292</v>
      </c>
      <c r="L25" s="9">
        <v>12.021485434820004</v>
      </c>
      <c r="M25" s="9">
        <v>11.734442828220228</v>
      </c>
      <c r="N25" s="9">
        <v>11.618957563527154</v>
      </c>
      <c r="O25" s="9">
        <v>12.197901782616174</v>
      </c>
      <c r="P25" s="9">
        <v>12.220646761044419</v>
      </c>
    </row>
    <row r="26" spans="1:16">
      <c r="A26" s="26">
        <v>25</v>
      </c>
      <c r="B26" s="9">
        <v>10.308412468166072</v>
      </c>
      <c r="C26" s="9">
        <v>10.363036002902845</v>
      </c>
      <c r="D26" s="9">
        <v>10.717474229494023</v>
      </c>
      <c r="E26" s="9">
        <v>10.75494961958157</v>
      </c>
      <c r="F26" s="9">
        <v>10.527613287392779</v>
      </c>
      <c r="G26" s="9">
        <v>10.315419824956198</v>
      </c>
      <c r="H26" s="9">
        <v>10.351156000263414</v>
      </c>
      <c r="I26" s="9">
        <v>10.236467891635252</v>
      </c>
      <c r="J26" s="29">
        <v>10.507263279051768</v>
      </c>
      <c r="K26" s="9">
        <v>10.339971922730422</v>
      </c>
      <c r="L26" s="9">
        <v>10.025769711225266</v>
      </c>
      <c r="M26" s="9">
        <v>10.231543219567074</v>
      </c>
      <c r="N26" s="9">
        <v>10.728794644756132</v>
      </c>
      <c r="O26" s="9">
        <v>10.569893075329635</v>
      </c>
      <c r="P26" s="9">
        <v>10.951858583795254</v>
      </c>
    </row>
    <row r="27" spans="1:16">
      <c r="A27" s="26">
        <v>26</v>
      </c>
      <c r="B27" s="9">
        <v>11.423221996384679</v>
      </c>
      <c r="C27" s="9">
        <v>11.238556163541782</v>
      </c>
      <c r="D27" s="9">
        <v>11.116276955903748</v>
      </c>
      <c r="E27" s="9">
        <v>10.872772953561757</v>
      </c>
      <c r="F27" s="9">
        <v>10.949292011813897</v>
      </c>
      <c r="G27" s="9">
        <v>11.155789993744868</v>
      </c>
      <c r="H27" s="9">
        <v>11.468458851131544</v>
      </c>
      <c r="I27" s="9">
        <v>11.351768903846393</v>
      </c>
      <c r="J27" s="29">
        <v>11.485905293049857</v>
      </c>
      <c r="K27" s="9">
        <v>11.17532875432379</v>
      </c>
      <c r="L27" s="9">
        <v>11.146595074519571</v>
      </c>
      <c r="M27" s="9">
        <v>11.250018993245723</v>
      </c>
      <c r="N27" s="9">
        <v>10.900579030214473</v>
      </c>
      <c r="O27" s="9">
        <v>11.111346220895149</v>
      </c>
      <c r="P27" s="9">
        <v>11.22211802510753</v>
      </c>
    </row>
    <row r="28" spans="1:16">
      <c r="A28" s="26">
        <v>27</v>
      </c>
      <c r="B28" s="9">
        <v>10.801105549603818</v>
      </c>
      <c r="C28" s="9">
        <v>10.841836973007974</v>
      </c>
      <c r="D28" s="9">
        <v>10.642801326892069</v>
      </c>
      <c r="E28" s="9">
        <v>10.741530491630977</v>
      </c>
      <c r="F28" s="9">
        <v>10.714486717412237</v>
      </c>
      <c r="G28" s="9">
        <v>10.823165410538762</v>
      </c>
      <c r="H28" s="9">
        <v>10.864888780438728</v>
      </c>
      <c r="I28" s="9">
        <v>10.998931636894863</v>
      </c>
      <c r="J28" s="29">
        <v>11.00863991933613</v>
      </c>
      <c r="K28" s="9">
        <v>11.165752782165571</v>
      </c>
      <c r="L28" s="9">
        <v>11.121671259371041</v>
      </c>
      <c r="M28" s="9">
        <v>10.565208554717421</v>
      </c>
      <c r="N28" s="9">
        <v>10.060335786510036</v>
      </c>
      <c r="O28" s="9">
        <v>9.6123325176092322</v>
      </c>
      <c r="P28" s="9">
        <v>9.5231296435402655</v>
      </c>
    </row>
    <row r="29" spans="1:16">
      <c r="A29" s="26">
        <v>28</v>
      </c>
      <c r="B29" s="9">
        <v>10.912679856581867</v>
      </c>
      <c r="C29" s="9">
        <v>10.902464823730893</v>
      </c>
      <c r="D29" s="9">
        <v>11.246091013359509</v>
      </c>
      <c r="E29" s="9">
        <v>11.800130384727538</v>
      </c>
      <c r="F29" s="9">
        <v>12.27386988323142</v>
      </c>
      <c r="G29" s="9">
        <v>12.398044094859458</v>
      </c>
      <c r="H29" s="9">
        <v>12.392746018903381</v>
      </c>
      <c r="I29" s="9">
        <v>12.485307598274858</v>
      </c>
      <c r="J29" s="29">
        <v>13.307714593724519</v>
      </c>
      <c r="K29" s="9">
        <v>13.283563775315697</v>
      </c>
      <c r="L29" s="9">
        <v>13.62394043689325</v>
      </c>
      <c r="M29" s="9">
        <v>13.754557562050287</v>
      </c>
      <c r="N29" s="9">
        <v>13.079075187816697</v>
      </c>
      <c r="O29" s="9">
        <v>13.395042595056891</v>
      </c>
      <c r="P29" s="9">
        <v>13.524399622418471</v>
      </c>
    </row>
    <row r="30" spans="1:16">
      <c r="A30" s="26">
        <v>29</v>
      </c>
      <c r="B30" s="9">
        <v>11.100363020567141</v>
      </c>
      <c r="C30" s="9">
        <v>11.258027848654825</v>
      </c>
      <c r="D30" s="9">
        <v>11.830509729769751</v>
      </c>
      <c r="E30" s="9">
        <v>11.630704475357369</v>
      </c>
      <c r="F30" s="9">
        <v>11.507181468074226</v>
      </c>
      <c r="G30" s="9">
        <v>11.871916896903446</v>
      </c>
      <c r="H30" s="9">
        <v>12.238184651648517</v>
      </c>
      <c r="I30" s="9">
        <v>12.109427484406384</v>
      </c>
      <c r="J30" s="29">
        <v>12.006002404475725</v>
      </c>
      <c r="K30" s="9">
        <v>11.941124894953081</v>
      </c>
      <c r="L30" s="9">
        <v>12.189745880110404</v>
      </c>
      <c r="M30" s="9">
        <v>12.11868027190267</v>
      </c>
      <c r="N30" s="9">
        <v>12.469232752602784</v>
      </c>
      <c r="O30" s="9">
        <v>12.610124449756446</v>
      </c>
      <c r="P30" s="9">
        <v>12.760311490085735</v>
      </c>
    </row>
    <row r="31" spans="1:16">
      <c r="A31" s="26">
        <v>30</v>
      </c>
      <c r="B31" s="9">
        <v>11.457989895780871</v>
      </c>
      <c r="C31" s="9">
        <v>11.41657763390096</v>
      </c>
      <c r="D31" s="9">
        <v>11.920814115114181</v>
      </c>
      <c r="E31" s="9">
        <v>12.068708309064821</v>
      </c>
      <c r="F31" s="9">
        <v>12.466490469181561</v>
      </c>
      <c r="G31" s="9">
        <v>12.721260483027885</v>
      </c>
      <c r="H31" s="9">
        <v>12.68749307787175</v>
      </c>
      <c r="I31" s="9">
        <v>13.1308783871571</v>
      </c>
      <c r="J31" s="29">
        <v>13.628077100874664</v>
      </c>
      <c r="K31" s="9">
        <v>13.348007212938558</v>
      </c>
      <c r="L31" s="9">
        <v>13.818584945239403</v>
      </c>
      <c r="M31" s="9">
        <v>13.595966231827838</v>
      </c>
      <c r="N31" s="9">
        <v>13.726893929396722</v>
      </c>
      <c r="O31" s="9">
        <v>13.818061598392127</v>
      </c>
      <c r="P31" s="9">
        <v>13.822565054924761</v>
      </c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8.6262708026484809</v>
      </c>
      <c r="C2" s="9">
        <v>8.7774833088507247</v>
      </c>
      <c r="D2" s="9">
        <v>8.9989063635590973</v>
      </c>
      <c r="E2" s="9">
        <v>9.0768034694529867</v>
      </c>
      <c r="F2" s="9">
        <v>9.306563237878354</v>
      </c>
      <c r="G2" s="9">
        <v>9.6287430104759899</v>
      </c>
      <c r="H2" s="9">
        <v>9.0655174162438872</v>
      </c>
      <c r="I2" s="9">
        <v>8.9673832513326346</v>
      </c>
      <c r="J2" s="29">
        <v>8.761246580901096</v>
      </c>
      <c r="K2" s="9">
        <v>8.6942027702261093</v>
      </c>
      <c r="L2" s="9">
        <v>8.4208382900749168</v>
      </c>
      <c r="M2" s="9">
        <v>8.5894283887978844</v>
      </c>
      <c r="N2" s="9">
        <v>8.7499531790527545</v>
      </c>
      <c r="O2" s="9">
        <v>8.3840822776248896</v>
      </c>
      <c r="P2" s="9">
        <v>8.7388923432347774</v>
      </c>
    </row>
    <row r="3" spans="1:16">
      <c r="A3" s="26">
        <v>2</v>
      </c>
      <c r="B3" s="9">
        <v>8.8957436738550371</v>
      </c>
      <c r="C3" s="9">
        <v>8.7653019750197618</v>
      </c>
      <c r="D3" s="9">
        <v>8.526766086444292</v>
      </c>
      <c r="E3" s="9">
        <v>8.3591037944490054</v>
      </c>
      <c r="F3" s="9">
        <v>8.3109366514631695</v>
      </c>
      <c r="G3" s="9">
        <v>8.2508784365231378</v>
      </c>
      <c r="H3" s="9">
        <v>8.8559606499389751</v>
      </c>
      <c r="I3" s="9">
        <v>8.5609259490437264</v>
      </c>
      <c r="J3" s="29">
        <v>8.9752486794351078</v>
      </c>
      <c r="K3" s="9">
        <v>9.1719858523892785</v>
      </c>
      <c r="L3" s="9">
        <v>9.7409622051969365</v>
      </c>
      <c r="M3" s="9">
        <v>9.2778945774090111</v>
      </c>
      <c r="N3" s="9">
        <v>9.100281908642085</v>
      </c>
      <c r="O3" s="9">
        <v>8.7323386274757446</v>
      </c>
      <c r="P3" s="9">
        <v>9.1199667159663296</v>
      </c>
    </row>
    <row r="4" spans="1:16">
      <c r="A4" s="26">
        <v>3</v>
      </c>
      <c r="B4" s="9">
        <v>8.3729378932244583</v>
      </c>
      <c r="C4" s="9">
        <v>7.9991441295614072</v>
      </c>
      <c r="D4" s="9">
        <v>7.9104628165479944</v>
      </c>
      <c r="E4" s="9">
        <v>8.0773860864620115</v>
      </c>
      <c r="F4" s="9">
        <v>8.2542271380317267</v>
      </c>
      <c r="G4" s="9">
        <v>8.1515344319999485</v>
      </c>
      <c r="H4" s="9">
        <v>8.3741095070957936</v>
      </c>
      <c r="I4" s="9">
        <v>7.9834368161417251</v>
      </c>
      <c r="J4" s="29">
        <v>7.5579986164968425</v>
      </c>
      <c r="K4" s="9">
        <v>7.3599435839475653</v>
      </c>
      <c r="L4" s="9">
        <v>7.615036896577088</v>
      </c>
      <c r="M4" s="9">
        <v>7.8323645576164314</v>
      </c>
      <c r="N4" s="9">
        <v>8.5747199989929648</v>
      </c>
      <c r="O4" s="9">
        <v>9.2009201874213105</v>
      </c>
      <c r="P4" s="9">
        <v>9.0622319123782784</v>
      </c>
    </row>
    <row r="5" spans="1:16">
      <c r="A5" s="26">
        <v>4</v>
      </c>
      <c r="B5" s="9">
        <v>8.4561421971455175</v>
      </c>
      <c r="C5" s="9">
        <v>8.6966070375653093</v>
      </c>
      <c r="D5" s="9">
        <v>8.7023050445336789</v>
      </c>
      <c r="E5" s="9">
        <v>8.4748160291710004</v>
      </c>
      <c r="F5" s="9">
        <v>8.2718199383137563</v>
      </c>
      <c r="G5" s="9">
        <v>8.4586567558969818</v>
      </c>
      <c r="H5" s="9">
        <v>8.3806269936301341</v>
      </c>
      <c r="I5" s="9">
        <v>8.5262388007138554</v>
      </c>
      <c r="J5" s="29">
        <v>8.6793457049309204</v>
      </c>
      <c r="K5" s="9">
        <v>8.9474470124375767</v>
      </c>
      <c r="L5" s="9">
        <v>8.7947230236757967</v>
      </c>
      <c r="M5" s="9">
        <v>8.7790347581177741</v>
      </c>
      <c r="N5" s="9">
        <v>8.8087099203240573</v>
      </c>
      <c r="O5" s="9">
        <v>8.6510346051517253</v>
      </c>
      <c r="P5" s="9">
        <v>9.0917934656271342</v>
      </c>
    </row>
    <row r="6" spans="1:16">
      <c r="A6" s="26">
        <v>5</v>
      </c>
      <c r="B6" s="9">
        <v>8.7501028809468941</v>
      </c>
      <c r="C6" s="9">
        <v>8.8004380196814953</v>
      </c>
      <c r="D6" s="9">
        <v>8.5221670834082754</v>
      </c>
      <c r="E6" s="9">
        <v>7.7429683905954407</v>
      </c>
      <c r="F6" s="9">
        <v>7.3793645957569529</v>
      </c>
      <c r="G6" s="9">
        <v>7.5786162625204225</v>
      </c>
      <c r="H6" s="9">
        <v>7.5018894068703528</v>
      </c>
      <c r="I6" s="9">
        <v>7.6856953373737618</v>
      </c>
      <c r="J6" s="29">
        <v>7.4084314555683886</v>
      </c>
      <c r="K6" s="9">
        <v>7.346902821089885</v>
      </c>
      <c r="L6" s="9">
        <v>7.2059719963647524</v>
      </c>
      <c r="M6" s="9">
        <v>6.8086921264400129</v>
      </c>
      <c r="N6" s="9">
        <v>6.9643189612719665</v>
      </c>
      <c r="O6" s="9">
        <v>6.9729538304374605</v>
      </c>
      <c r="P6" s="9">
        <v>7.5920092813127864</v>
      </c>
    </row>
    <row r="7" spans="1:16">
      <c r="A7" s="26">
        <v>6</v>
      </c>
      <c r="B7" s="9">
        <v>9.0444645916694331</v>
      </c>
      <c r="C7" s="9">
        <v>8.4584301434299096</v>
      </c>
      <c r="D7" s="9">
        <v>8.7552984918075296</v>
      </c>
      <c r="E7" s="9">
        <v>8.6053062303276384</v>
      </c>
      <c r="F7" s="9">
        <v>9.0734305181467736</v>
      </c>
      <c r="G7" s="9">
        <v>8.8905397617332582</v>
      </c>
      <c r="H7" s="9">
        <v>9.0165781328872061</v>
      </c>
      <c r="I7" s="9">
        <v>8.9077289291878703</v>
      </c>
      <c r="J7" s="29">
        <v>9.3437339870252583</v>
      </c>
      <c r="K7" s="9">
        <v>9.592707753609405</v>
      </c>
      <c r="L7" s="9">
        <v>9.9182841278430658</v>
      </c>
      <c r="M7" s="9">
        <v>10.601000518872628</v>
      </c>
      <c r="N7" s="9">
        <v>11.339272623143412</v>
      </c>
      <c r="O7" s="9">
        <v>11.272528773984321</v>
      </c>
      <c r="P7" s="9">
        <v>10.81021823436833</v>
      </c>
    </row>
    <row r="8" spans="1:16">
      <c r="A8" s="26">
        <v>7</v>
      </c>
      <c r="B8" s="9">
        <v>8.5646227199667067</v>
      </c>
      <c r="C8" s="9">
        <v>8.1431784569046251</v>
      </c>
      <c r="D8" s="9">
        <v>8.5961099580164628</v>
      </c>
      <c r="E8" s="9">
        <v>8.7468672883927336</v>
      </c>
      <c r="F8" s="9">
        <v>8.7708827189125991</v>
      </c>
      <c r="G8" s="9">
        <v>9.1807496644606896</v>
      </c>
      <c r="H8" s="9">
        <v>9.1110783893483589</v>
      </c>
      <c r="I8" s="9">
        <v>8.7374667156060184</v>
      </c>
      <c r="J8" s="29">
        <v>8.4158947605333374</v>
      </c>
      <c r="K8" s="9">
        <v>8.2517846752149975</v>
      </c>
      <c r="L8" s="9">
        <v>7.8541686801036343</v>
      </c>
      <c r="M8" s="9">
        <v>7.6391499219857177</v>
      </c>
      <c r="N8" s="9">
        <v>7.9118817769387313</v>
      </c>
      <c r="O8" s="9">
        <v>7.809211395753719</v>
      </c>
      <c r="P8" s="9">
        <v>7.9292316863266814</v>
      </c>
    </row>
    <row r="9" spans="1:16">
      <c r="A9" s="26">
        <v>8</v>
      </c>
      <c r="B9" s="9">
        <v>8.4867099736678071</v>
      </c>
      <c r="C9" s="9">
        <v>8.5972575152203738</v>
      </c>
      <c r="D9" s="9">
        <v>8.2105387312437514</v>
      </c>
      <c r="E9" s="9">
        <v>8.2159541069728839</v>
      </c>
      <c r="F9" s="9">
        <v>7.849593495765542</v>
      </c>
      <c r="G9" s="9">
        <v>8.1877421335258305</v>
      </c>
      <c r="H9" s="9">
        <v>8.6730045060143457</v>
      </c>
      <c r="I9" s="9">
        <v>8.3774263572818519</v>
      </c>
      <c r="J9" s="29">
        <v>8.339662259930348</v>
      </c>
      <c r="K9" s="9">
        <v>8.2019091924763625</v>
      </c>
      <c r="L9" s="9">
        <v>7.8658183227511014</v>
      </c>
      <c r="M9" s="9">
        <v>7.503644617493749</v>
      </c>
      <c r="N9" s="9">
        <v>7.7704684865575819</v>
      </c>
      <c r="O9" s="9">
        <v>8.1064958465212431</v>
      </c>
      <c r="P9" s="9">
        <v>8.5269589310860852</v>
      </c>
    </row>
    <row r="10" spans="1:16">
      <c r="A10" s="26">
        <v>9</v>
      </c>
      <c r="B10" s="9">
        <v>9.2868754681975059</v>
      </c>
      <c r="C10" s="9">
        <v>9.6328919339968753</v>
      </c>
      <c r="D10" s="9">
        <v>9.7390192716798207</v>
      </c>
      <c r="E10" s="9">
        <v>9.1911676366015893</v>
      </c>
      <c r="F10" s="9">
        <v>9.598796874681911</v>
      </c>
      <c r="G10" s="9">
        <v>9.3861455604642252</v>
      </c>
      <c r="H10" s="9">
        <v>9.3044795859234792</v>
      </c>
      <c r="I10" s="9">
        <v>9.411410413142363</v>
      </c>
      <c r="J10" s="29">
        <v>8.9734182610526236</v>
      </c>
      <c r="K10" s="9">
        <v>9.4447178370950446</v>
      </c>
      <c r="L10" s="9">
        <v>9.8906584692030073</v>
      </c>
      <c r="M10" s="9">
        <v>9.5886470013665193</v>
      </c>
      <c r="N10" s="9">
        <v>10.205376623023136</v>
      </c>
      <c r="O10" s="9">
        <v>9.6604928913892074</v>
      </c>
      <c r="P10" s="9">
        <v>9.6460571304626477</v>
      </c>
    </row>
    <row r="11" spans="1:16">
      <c r="A11" s="26">
        <v>10</v>
      </c>
      <c r="B11" s="9">
        <v>8.7006291628438142</v>
      </c>
      <c r="C11" s="9">
        <v>9.0998984668212053</v>
      </c>
      <c r="D11" s="9">
        <v>9.7263718319850074</v>
      </c>
      <c r="E11" s="9">
        <v>10.685267674890181</v>
      </c>
      <c r="F11" s="9">
        <v>11.029391558577949</v>
      </c>
      <c r="G11" s="9">
        <v>11.811606256498232</v>
      </c>
      <c r="H11" s="9">
        <v>12.165538982622865</v>
      </c>
      <c r="I11" s="9">
        <v>12.37833428826988</v>
      </c>
      <c r="J11" s="29">
        <v>12.445352507927106</v>
      </c>
      <c r="K11" s="9">
        <v>13.765553811460169</v>
      </c>
      <c r="L11" s="9">
        <v>12.460022923095114</v>
      </c>
      <c r="M11" s="9">
        <v>12.619142286445717</v>
      </c>
      <c r="N11" s="9">
        <v>14.040042170444609</v>
      </c>
      <c r="O11" s="9">
        <v>13.114343133108401</v>
      </c>
      <c r="P11" s="9">
        <v>13.286713422621212</v>
      </c>
    </row>
    <row r="12" spans="1:16">
      <c r="A12" s="26">
        <v>11</v>
      </c>
      <c r="B12" s="9">
        <v>8.36576932853934</v>
      </c>
      <c r="C12" s="9">
        <v>8.6839066514944481</v>
      </c>
      <c r="D12" s="9">
        <v>8.7949034248631754</v>
      </c>
      <c r="E12" s="9">
        <v>8.5823273320132429</v>
      </c>
      <c r="F12" s="9">
        <v>8.791907636191489</v>
      </c>
      <c r="G12" s="9">
        <v>8.5974227902630869</v>
      </c>
      <c r="H12" s="9">
        <v>8.747629423843474</v>
      </c>
      <c r="I12" s="9">
        <v>8.9528198414347369</v>
      </c>
      <c r="J12" s="29">
        <v>8.4240847100182474</v>
      </c>
      <c r="K12" s="9">
        <v>8.1489106289058526</v>
      </c>
      <c r="L12" s="9">
        <v>8.265823529954492</v>
      </c>
      <c r="M12" s="9">
        <v>8.3252242350311221</v>
      </c>
      <c r="N12" s="9">
        <v>8.3525533060638484</v>
      </c>
      <c r="O12" s="9">
        <v>8.3214073913251614</v>
      </c>
      <c r="P12" s="9">
        <v>8.7848208340469665</v>
      </c>
    </row>
    <row r="13" spans="1:16">
      <c r="A13" s="26">
        <v>12</v>
      </c>
      <c r="B13" s="9">
        <v>8.8873228055234463</v>
      </c>
      <c r="C13" s="9">
        <v>8.3659438517888081</v>
      </c>
      <c r="D13" s="9">
        <v>8.648810774161058</v>
      </c>
      <c r="E13" s="9">
        <v>8.9789024347184405</v>
      </c>
      <c r="F13" s="9">
        <v>8.8213885748854572</v>
      </c>
      <c r="G13" s="9">
        <v>8.8959952741894615</v>
      </c>
      <c r="H13" s="9">
        <v>8.7881176233467198</v>
      </c>
      <c r="I13" s="9">
        <v>8.6058871489765938</v>
      </c>
      <c r="J13" s="29">
        <v>8.6170686544966486</v>
      </c>
      <c r="K13" s="9">
        <v>8.7813019483810191</v>
      </c>
      <c r="L13" s="9">
        <v>8.5201937530374412</v>
      </c>
      <c r="M13" s="9">
        <v>8.6690026442387698</v>
      </c>
      <c r="N13" s="9">
        <v>8.6452668049367016</v>
      </c>
      <c r="O13" s="9">
        <v>8.9917584936955013</v>
      </c>
      <c r="P13" s="9">
        <v>8.5936701349478337</v>
      </c>
    </row>
    <row r="14" spans="1:16">
      <c r="A14" s="26">
        <v>13</v>
      </c>
      <c r="B14" s="9">
        <v>8.4355067626097568</v>
      </c>
      <c r="C14" s="9">
        <v>8.6857321152638409</v>
      </c>
      <c r="D14" s="9">
        <v>8.8017148847383613</v>
      </c>
      <c r="E14" s="9">
        <v>9.2805062733972559</v>
      </c>
      <c r="F14" s="9">
        <v>8.7533525550255611</v>
      </c>
      <c r="G14" s="9">
        <v>9.1259824851785307</v>
      </c>
      <c r="H14" s="9">
        <v>9.50841081393156</v>
      </c>
      <c r="I14" s="9">
        <v>8.9539599461014721</v>
      </c>
      <c r="J14" s="29">
        <v>9.3000723690056226</v>
      </c>
      <c r="K14" s="9">
        <v>9.840651132493603</v>
      </c>
      <c r="L14" s="9">
        <v>8.8348924667151927</v>
      </c>
      <c r="M14" s="9">
        <v>8.606929599688943</v>
      </c>
      <c r="N14" s="9">
        <v>8.1579445242673447</v>
      </c>
      <c r="O14" s="9">
        <v>8.2786555904149246</v>
      </c>
      <c r="P14" s="9">
        <v>8.5819473721243913</v>
      </c>
    </row>
    <row r="15" spans="1:16">
      <c r="A15" s="26">
        <v>14</v>
      </c>
      <c r="B15" s="9">
        <v>8.3057410218601166</v>
      </c>
      <c r="C15" s="9">
        <v>8.2130818804064987</v>
      </c>
      <c r="D15" s="9">
        <v>8.7216177542102571</v>
      </c>
      <c r="E15" s="9">
        <v>8.2333731488473649</v>
      </c>
      <c r="F15" s="9">
        <v>7.8974558689854266</v>
      </c>
      <c r="G15" s="9">
        <v>7.7851004627223546</v>
      </c>
      <c r="H15" s="9">
        <v>7.8009497771959913</v>
      </c>
      <c r="I15" s="9">
        <v>7.5197597329055919</v>
      </c>
      <c r="J15" s="29">
        <v>7.9052968986775474</v>
      </c>
      <c r="K15" s="9">
        <v>8.3217223485014973</v>
      </c>
      <c r="L15" s="9">
        <v>8.6218770398536559</v>
      </c>
      <c r="M15" s="9">
        <v>8.8733090939767241</v>
      </c>
      <c r="N15" s="9">
        <v>9.1222382031219809</v>
      </c>
      <c r="O15" s="9">
        <v>8.8598149157129242</v>
      </c>
      <c r="P15" s="9">
        <v>9.1930950551277277</v>
      </c>
    </row>
    <row r="16" spans="1:16">
      <c r="A16" s="26">
        <v>15</v>
      </c>
      <c r="B16" s="9">
        <v>8.6373721122263696</v>
      </c>
      <c r="C16" s="9">
        <v>8.8151714554096881</v>
      </c>
      <c r="D16" s="9">
        <v>9.0831132539239388</v>
      </c>
      <c r="E16" s="9">
        <v>9.1121428908937183</v>
      </c>
      <c r="F16" s="9">
        <v>10.246350980654082</v>
      </c>
      <c r="G16" s="9">
        <v>11.406853258577273</v>
      </c>
      <c r="H16" s="9">
        <v>11.236653429227452</v>
      </c>
      <c r="I16" s="9">
        <v>11.424673703796937</v>
      </c>
      <c r="J16" s="29">
        <v>11.527382969814331</v>
      </c>
      <c r="K16" s="9">
        <v>11.992598781486304</v>
      </c>
      <c r="L16" s="9">
        <v>12.572920028308729</v>
      </c>
      <c r="M16" s="9">
        <v>12.690504285958564</v>
      </c>
      <c r="N16" s="9">
        <v>12.310790359528424</v>
      </c>
      <c r="O16" s="9">
        <v>12.760761380778089</v>
      </c>
      <c r="P16" s="9">
        <v>13.022323659162845</v>
      </c>
    </row>
    <row r="17" spans="1:16">
      <c r="A17" s="26">
        <v>16</v>
      </c>
      <c r="B17" s="9">
        <v>9.0615295769679634</v>
      </c>
      <c r="C17" s="9">
        <v>9.3764692483033585</v>
      </c>
      <c r="D17" s="9">
        <v>9.1655919898593812</v>
      </c>
      <c r="E17" s="9">
        <v>9.7327258445438627</v>
      </c>
      <c r="F17" s="9">
        <v>9.8255779602013185</v>
      </c>
      <c r="G17" s="9">
        <v>9.209825050754624</v>
      </c>
      <c r="H17" s="9">
        <v>9.9146701525505971</v>
      </c>
      <c r="I17" s="9">
        <v>9.7653026745645821</v>
      </c>
      <c r="J17" s="29">
        <v>9.6535897633150274</v>
      </c>
      <c r="K17" s="9">
        <v>10.149010936192074</v>
      </c>
      <c r="L17" s="9">
        <v>10.443912529243056</v>
      </c>
      <c r="M17" s="9">
        <v>10.367205559391861</v>
      </c>
      <c r="N17" s="9">
        <v>11.012682369370459</v>
      </c>
      <c r="O17" s="9">
        <v>10.895462773529012</v>
      </c>
      <c r="P17" s="9">
        <v>11.457450284200707</v>
      </c>
    </row>
    <row r="18" spans="1:16">
      <c r="A18" s="26">
        <v>17</v>
      </c>
      <c r="B18" s="9">
        <v>8.3134634835909331</v>
      </c>
      <c r="C18" s="9">
        <v>8.7082919395425638</v>
      </c>
      <c r="D18" s="9">
        <v>8.830408999454189</v>
      </c>
      <c r="E18" s="9">
        <v>8.3639717111804899</v>
      </c>
      <c r="F18" s="9">
        <v>8.9635072752976956</v>
      </c>
      <c r="G18" s="9">
        <v>8.8497802029050607</v>
      </c>
      <c r="H18" s="9">
        <v>8.6300742099735146</v>
      </c>
      <c r="I18" s="9">
        <v>8.7205406084014516</v>
      </c>
      <c r="J18" s="29">
        <v>8.5911007237979735</v>
      </c>
      <c r="K18" s="9">
        <v>8.9334153459868393</v>
      </c>
      <c r="L18" s="9">
        <v>8.9899325809096933</v>
      </c>
      <c r="M18" s="9">
        <v>9.3008192903553812</v>
      </c>
      <c r="N18" s="9">
        <v>8.790608105288598</v>
      </c>
      <c r="O18" s="9">
        <v>8.6342872512298516</v>
      </c>
      <c r="P18" s="9">
        <v>8.6739917559860853</v>
      </c>
    </row>
    <row r="19" spans="1:16">
      <c r="A19" s="26">
        <v>18</v>
      </c>
      <c r="B19" s="9">
        <v>8.8365902889401102</v>
      </c>
      <c r="C19" s="9">
        <v>8.6261168647169395</v>
      </c>
      <c r="D19" s="9">
        <v>9.2685390578432436</v>
      </c>
      <c r="E19" s="9">
        <v>9.0461902065757709</v>
      </c>
      <c r="F19" s="9">
        <v>9.0794043107817028</v>
      </c>
      <c r="G19" s="9">
        <v>8.7924469811686095</v>
      </c>
      <c r="H19" s="9">
        <v>9.0016656689185623</v>
      </c>
      <c r="I19" s="9">
        <v>9.3879375111203789</v>
      </c>
      <c r="J19" s="29">
        <v>9.2578831948196001</v>
      </c>
      <c r="K19" s="9">
        <v>9.3778596224341104</v>
      </c>
      <c r="L19" s="9">
        <v>10.025627608794203</v>
      </c>
      <c r="M19" s="9">
        <v>10.487152662040542</v>
      </c>
      <c r="N19" s="9">
        <v>10.538002332015346</v>
      </c>
      <c r="O19" s="9">
        <v>10.749502229158487</v>
      </c>
      <c r="P19" s="9">
        <v>11.043374342853461</v>
      </c>
    </row>
    <row r="20" spans="1:16">
      <c r="A20" s="26">
        <v>19</v>
      </c>
      <c r="B20" s="9">
        <v>8.4567015586426511</v>
      </c>
      <c r="C20" s="9">
        <v>8.4880770842112003</v>
      </c>
      <c r="D20" s="9">
        <v>8.7322368137018334</v>
      </c>
      <c r="E20" s="9">
        <v>8.5089638980032589</v>
      </c>
      <c r="F20" s="9">
        <v>8.8723960797627974</v>
      </c>
      <c r="G20" s="9">
        <v>9.0719774499375294</v>
      </c>
      <c r="H20" s="9">
        <v>9.3620333899656298</v>
      </c>
      <c r="I20" s="9">
        <v>8.8291540639469037</v>
      </c>
      <c r="J20" s="29">
        <v>9.0871422505615627</v>
      </c>
      <c r="K20" s="9">
        <v>9.3672670696866707</v>
      </c>
      <c r="L20" s="9">
        <v>9.4232867678214784</v>
      </c>
      <c r="M20" s="9">
        <v>10.204438830037256</v>
      </c>
      <c r="N20" s="9">
        <v>10.674534379121056</v>
      </c>
      <c r="O20" s="9">
        <v>10.353988708199703</v>
      </c>
      <c r="P20" s="9">
        <v>9.7088167584831062</v>
      </c>
    </row>
    <row r="21" spans="1:16">
      <c r="A21" s="26">
        <v>20</v>
      </c>
      <c r="B21" s="9">
        <v>8.5571959486224092</v>
      </c>
      <c r="C21" s="9">
        <v>8.1191613395517841</v>
      </c>
      <c r="D21" s="9">
        <v>7.961219293749501</v>
      </c>
      <c r="E21" s="9">
        <v>7.7949391031072084</v>
      </c>
      <c r="F21" s="9">
        <v>7.7368371344820615</v>
      </c>
      <c r="G21" s="9">
        <v>7.7482069230452275</v>
      </c>
      <c r="H21" s="9">
        <v>7.811750828497563</v>
      </c>
      <c r="I21" s="9">
        <v>8.0392432683168416</v>
      </c>
      <c r="J21" s="29">
        <v>8.1180391261267744</v>
      </c>
      <c r="K21" s="9">
        <v>7.9725499423745223</v>
      </c>
      <c r="L21" s="9">
        <v>8.1587288610938451</v>
      </c>
      <c r="M21" s="9">
        <v>7.5431811666878144</v>
      </c>
      <c r="N21" s="9">
        <v>7.2797032211151294</v>
      </c>
      <c r="O21" s="9">
        <v>6.9236958631934895</v>
      </c>
      <c r="P21" s="9">
        <v>7.0248410731620412</v>
      </c>
    </row>
    <row r="22" spans="1:16">
      <c r="A22" s="26">
        <v>21</v>
      </c>
      <c r="B22" s="9">
        <v>8.4966863573978326</v>
      </c>
      <c r="C22" s="9">
        <v>9.0020573114421953</v>
      </c>
      <c r="D22" s="9">
        <v>9.3555033176548914</v>
      </c>
      <c r="E22" s="9">
        <v>9.7355020777413213</v>
      </c>
      <c r="F22" s="9">
        <v>9.9976231728172511</v>
      </c>
      <c r="G22" s="9">
        <v>10.415610315865319</v>
      </c>
      <c r="H22" s="9">
        <v>11.077219239281145</v>
      </c>
      <c r="I22" s="9">
        <v>11.005574148822516</v>
      </c>
      <c r="J22" s="29">
        <v>11.090922032853657</v>
      </c>
      <c r="K22" s="9">
        <v>10.955051940865683</v>
      </c>
      <c r="L22" s="9">
        <v>10.714072340028853</v>
      </c>
      <c r="M22" s="9">
        <v>10.64365773887886</v>
      </c>
      <c r="N22" s="9">
        <v>11.274059573879791</v>
      </c>
      <c r="O22" s="9">
        <v>11.51988684647276</v>
      </c>
      <c r="P22" s="9">
        <v>10.902884771357098</v>
      </c>
    </row>
    <row r="23" spans="1:16">
      <c r="A23" s="26">
        <v>22</v>
      </c>
      <c r="B23" s="9">
        <v>8.827547929417042</v>
      </c>
      <c r="C23" s="9">
        <v>8.9272337891801197</v>
      </c>
      <c r="D23" s="9">
        <v>9.1331077587331624</v>
      </c>
      <c r="E23" s="9">
        <v>10.050326955858125</v>
      </c>
      <c r="F23" s="9">
        <v>10.341010014758906</v>
      </c>
      <c r="G23" s="9">
        <v>10.379679752809942</v>
      </c>
      <c r="H23" s="9">
        <v>10.426256197165985</v>
      </c>
      <c r="I23" s="9">
        <v>10.188291371189971</v>
      </c>
      <c r="J23" s="29">
        <v>9.9646672882621203</v>
      </c>
      <c r="K23" s="9">
        <v>9.7075612032532792</v>
      </c>
      <c r="L23" s="9">
        <v>9.5633149430660982</v>
      </c>
      <c r="M23" s="9">
        <v>9.8448935659559726</v>
      </c>
      <c r="N23" s="9">
        <v>9.9940394955679661</v>
      </c>
      <c r="O23" s="9">
        <v>10.766744533549327</v>
      </c>
      <c r="P23" s="9">
        <v>10.397162478731222</v>
      </c>
    </row>
    <row r="24" spans="1:16">
      <c r="A24" s="26">
        <v>23</v>
      </c>
      <c r="B24" s="9">
        <v>8.3509553965834442</v>
      </c>
      <c r="C24" s="9">
        <v>8.1141588872653969</v>
      </c>
      <c r="D24" s="9">
        <v>8.3183203899678801</v>
      </c>
      <c r="E24" s="9">
        <v>7.7704183898837664</v>
      </c>
      <c r="F24" s="9">
        <v>8.0104618137681989</v>
      </c>
      <c r="G24" s="9">
        <v>8.0110429902787548</v>
      </c>
      <c r="H24" s="9">
        <v>8.2442084420771966</v>
      </c>
      <c r="I24" s="9">
        <v>8.2661281913326956</v>
      </c>
      <c r="J24" s="29">
        <v>8.1958013955557067</v>
      </c>
      <c r="K24" s="9">
        <v>8.3436364761936659</v>
      </c>
      <c r="L24" s="9">
        <v>8.0042626653583415</v>
      </c>
      <c r="M24" s="9">
        <v>8.0137397781599109</v>
      </c>
      <c r="N24" s="9">
        <v>8.2296309571522404</v>
      </c>
      <c r="O24" s="9">
        <v>7.6755515862207124</v>
      </c>
      <c r="P24" s="9">
        <v>7.8519555172350231</v>
      </c>
    </row>
    <row r="25" spans="1:16">
      <c r="A25" s="26">
        <v>24</v>
      </c>
      <c r="B25" s="9">
        <v>8.4366370933570867</v>
      </c>
      <c r="C25" s="9">
        <v>7.8900347862203226</v>
      </c>
      <c r="D25" s="9">
        <v>7.6640594863046232</v>
      </c>
      <c r="E25" s="9">
        <v>7.8729612336138786</v>
      </c>
      <c r="F25" s="9">
        <v>8.3928655505725427</v>
      </c>
      <c r="G25" s="9">
        <v>8.1160171686286748</v>
      </c>
      <c r="H25" s="9">
        <v>8.2686577535069983</v>
      </c>
      <c r="I25" s="9">
        <v>8.5896472941229902</v>
      </c>
      <c r="J25" s="29">
        <v>8.7846190173593506</v>
      </c>
      <c r="K25" s="9">
        <v>8.9000768773959997</v>
      </c>
      <c r="L25" s="9">
        <v>8.5629879920365362</v>
      </c>
      <c r="M25" s="9">
        <v>8.4887327355506024</v>
      </c>
      <c r="N25" s="9">
        <v>8.3341745261158984</v>
      </c>
      <c r="O25" s="9">
        <v>8.3409621967290271</v>
      </c>
      <c r="P25" s="9">
        <v>7.9835043427520374</v>
      </c>
    </row>
    <row r="26" spans="1:16">
      <c r="A26" s="26">
        <v>25</v>
      </c>
      <c r="B26" s="9">
        <v>8.2394025348113704</v>
      </c>
      <c r="C26" s="9">
        <v>7.8602786651477974</v>
      </c>
      <c r="D26" s="9">
        <v>8.1375905344700126</v>
      </c>
      <c r="E26" s="9">
        <v>8.6207040336285967</v>
      </c>
      <c r="F26" s="9">
        <v>8.5331984725445214</v>
      </c>
      <c r="G26" s="9">
        <v>9.1481513200835813</v>
      </c>
      <c r="H26" s="9">
        <v>9.4352985737549417</v>
      </c>
      <c r="I26" s="9">
        <v>9.301309921421403</v>
      </c>
      <c r="J26" s="29">
        <v>9.2227313819154464</v>
      </c>
      <c r="K26" s="9">
        <v>9.4907321432100371</v>
      </c>
      <c r="L26" s="9">
        <v>9.4828027984510683</v>
      </c>
      <c r="M26" s="9">
        <v>9.1087278003933108</v>
      </c>
      <c r="N26" s="9">
        <v>9.2726146738525195</v>
      </c>
      <c r="O26" s="9">
        <v>10.358425969099041</v>
      </c>
      <c r="P26" s="9">
        <v>10.387342719062183</v>
      </c>
    </row>
    <row r="27" spans="1:16">
      <c r="A27" s="26">
        <v>26</v>
      </c>
      <c r="B27" s="9">
        <v>8.4272165583451635</v>
      </c>
      <c r="C27" s="9">
        <v>8.112572400046842</v>
      </c>
      <c r="D27" s="9">
        <v>8.3801560784810079</v>
      </c>
      <c r="E27" s="9">
        <v>8.3710909662763644</v>
      </c>
      <c r="F27" s="9">
        <v>8.0500071545636125</v>
      </c>
      <c r="G27" s="9">
        <v>8.3146258099598178</v>
      </c>
      <c r="H27" s="9">
        <v>8.7017556189658034</v>
      </c>
      <c r="I27" s="9">
        <v>8.5458659835311011</v>
      </c>
      <c r="J27" s="29">
        <v>8.4663889339548195</v>
      </c>
      <c r="K27" s="9">
        <v>8.2598114909760643</v>
      </c>
      <c r="L27" s="9">
        <v>8.1785389485127507</v>
      </c>
      <c r="M27" s="9">
        <v>8.1589945745414489</v>
      </c>
      <c r="N27" s="9">
        <v>8.1131260655071067</v>
      </c>
      <c r="O27" s="9">
        <v>8.4167737998603407</v>
      </c>
      <c r="P27" s="9">
        <v>8.3450700339254666</v>
      </c>
    </row>
    <row r="28" spans="1:16">
      <c r="A28" s="26">
        <v>27</v>
      </c>
      <c r="B28" s="9">
        <v>9.0638423603095912</v>
      </c>
      <c r="C28" s="9">
        <v>9.1337306019829096</v>
      </c>
      <c r="D28" s="9">
        <v>9.3647041328902212</v>
      </c>
      <c r="E28" s="9">
        <v>9.6115282153390442</v>
      </c>
      <c r="F28" s="9">
        <v>10.327738344983803</v>
      </c>
      <c r="G28" s="9">
        <v>10.961764132294165</v>
      </c>
      <c r="H28" s="9">
        <v>10.93637936639605</v>
      </c>
      <c r="I28" s="9">
        <v>10.571507032524766</v>
      </c>
      <c r="J28" s="29">
        <v>10.536026573295395</v>
      </c>
      <c r="K28" s="9">
        <v>10.195981515675063</v>
      </c>
      <c r="L28" s="9">
        <v>9.9853091654800963</v>
      </c>
      <c r="M28" s="9">
        <v>10.759896604204277</v>
      </c>
      <c r="N28" s="9">
        <v>11.123671492144592</v>
      </c>
      <c r="O28" s="9">
        <v>11.009642539532146</v>
      </c>
      <c r="P28" s="9">
        <v>11.481368841203697</v>
      </c>
    </row>
    <row r="29" spans="1:16">
      <c r="A29" s="26">
        <v>28</v>
      </c>
      <c r="B29" s="9">
        <v>8.4307489689409341</v>
      </c>
      <c r="C29" s="9">
        <v>8.1634237488668635</v>
      </c>
      <c r="D29" s="9">
        <v>8.3481490708498391</v>
      </c>
      <c r="E29" s="9">
        <v>8.6654724714447848</v>
      </c>
      <c r="F29" s="9">
        <v>8.625732510871245</v>
      </c>
      <c r="G29" s="9">
        <v>8.2699489642290303</v>
      </c>
      <c r="H29" s="9">
        <v>8.3172304096137157</v>
      </c>
      <c r="I29" s="9">
        <v>8.454404163536136</v>
      </c>
      <c r="J29" s="29">
        <v>8.5520251554971161</v>
      </c>
      <c r="K29" s="9">
        <v>8.6515190332307856</v>
      </c>
      <c r="L29" s="9">
        <v>8.2954229236667736</v>
      </c>
      <c r="M29" s="9">
        <v>8.2571679390194905</v>
      </c>
      <c r="N29" s="9">
        <v>7.9130027935830345</v>
      </c>
      <c r="O29" s="9">
        <v>7.7574147143473606</v>
      </c>
      <c r="P29" s="9">
        <v>7.7898028120584986</v>
      </c>
    </row>
    <row r="30" spans="1:16">
      <c r="A30" s="26">
        <v>29</v>
      </c>
      <c r="B30" s="9">
        <v>9.1753990156767742</v>
      </c>
      <c r="C30" s="9">
        <v>9.1643674555589794</v>
      </c>
      <c r="D30" s="9">
        <v>8.734784844791788</v>
      </c>
      <c r="E30" s="9">
        <v>8.7768064858967492</v>
      </c>
      <c r="F30" s="9">
        <v>9.2958035107633172</v>
      </c>
      <c r="G30" s="9">
        <v>9.1083595871604626</v>
      </c>
      <c r="H30" s="9">
        <v>9.2027259979456097</v>
      </c>
      <c r="I30" s="9">
        <v>9.3369763849583922</v>
      </c>
      <c r="J30" s="29">
        <v>9.6821473070051045</v>
      </c>
      <c r="K30" s="9">
        <v>9.5625672823194865</v>
      </c>
      <c r="L30" s="9">
        <v>9.6514324018947875</v>
      </c>
      <c r="M30" s="9">
        <v>9.804457158349063</v>
      </c>
      <c r="N30" s="9">
        <v>9.7345912504534748</v>
      </c>
      <c r="O30" s="9">
        <v>9.8100806773237075</v>
      </c>
      <c r="P30" s="9">
        <v>10.837148771926177</v>
      </c>
    </row>
    <row r="31" spans="1:16">
      <c r="A31" s="26">
        <v>30</v>
      </c>
      <c r="B31" s="9">
        <v>8.6611170077233162</v>
      </c>
      <c r="C31" s="9">
        <v>8.0877084905931849</v>
      </c>
      <c r="D31" s="9">
        <v>8.4008827595911644</v>
      </c>
      <c r="E31" s="9">
        <v>8.3795460787955438</v>
      </c>
      <c r="F31" s="9">
        <v>8.6718797497516427</v>
      </c>
      <c r="G31" s="9">
        <v>8.8317350034607109</v>
      </c>
      <c r="H31" s="9">
        <v>8.8384159801295503</v>
      </c>
      <c r="I31" s="9">
        <v>8.8544910000567452</v>
      </c>
      <c r="J31" s="29">
        <v>7.9432608767968471</v>
      </c>
      <c r="K31" s="9">
        <v>7.5005769662253945</v>
      </c>
      <c r="L31" s="9">
        <v>7.2240013574798576</v>
      </c>
      <c r="M31" s="9">
        <v>7.144325219790276</v>
      </c>
      <c r="N31" s="9">
        <v>7.3019127022970496</v>
      </c>
      <c r="O31" s="9">
        <v>7.4262070741954069</v>
      </c>
      <c r="P31" s="9">
        <v>6.8111190411585136</v>
      </c>
    </row>
  </sheetData>
  <phoneticPr fontId="2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21.222858144650314</v>
      </c>
      <c r="C2" s="9">
        <v>21.056194690962155</v>
      </c>
      <c r="D2" s="9">
        <v>20.24559515892847</v>
      </c>
      <c r="E2" s="9">
        <v>20.62519910428497</v>
      </c>
      <c r="F2" s="9">
        <v>20.387810543615974</v>
      </c>
      <c r="G2" s="9">
        <v>20.193179236758056</v>
      </c>
      <c r="H2" s="9">
        <v>20.611389379634311</v>
      </c>
      <c r="I2" s="9">
        <v>20.814033276545157</v>
      </c>
      <c r="J2" s="29">
        <v>21.504350972864682</v>
      </c>
      <c r="K2" s="9">
        <v>21.113633469945071</v>
      </c>
      <c r="L2" s="9">
        <v>21.633688147150771</v>
      </c>
      <c r="M2" s="9">
        <v>21.514351466502355</v>
      </c>
      <c r="N2" s="9">
        <v>21.765651054631814</v>
      </c>
      <c r="O2" s="9">
        <v>22.209202390370191</v>
      </c>
      <c r="P2" s="9">
        <v>22.449475200558073</v>
      </c>
    </row>
    <row r="3" spans="1:16">
      <c r="A3" s="26">
        <v>2</v>
      </c>
      <c r="B3" s="9">
        <v>21.723735079951247</v>
      </c>
      <c r="C3" s="9">
        <v>21.368745241417077</v>
      </c>
      <c r="D3" s="9">
        <v>21.712519617121579</v>
      </c>
      <c r="E3" s="9">
        <v>22.095270902525236</v>
      </c>
      <c r="F3" s="9">
        <v>22.136323070350961</v>
      </c>
      <c r="G3" s="9">
        <v>22.539827656037911</v>
      </c>
      <c r="H3" s="9">
        <v>21.882380075820766</v>
      </c>
      <c r="I3" s="9">
        <v>21.8611207691775</v>
      </c>
      <c r="J3" s="29">
        <v>22.461318891840047</v>
      </c>
      <c r="K3" s="9">
        <v>22.838223013540269</v>
      </c>
      <c r="L3" s="9">
        <v>23.095864898311742</v>
      </c>
      <c r="M3" s="9">
        <v>23.237249783311963</v>
      </c>
      <c r="N3" s="9">
        <v>23.418184688798174</v>
      </c>
      <c r="O3" s="9">
        <v>23.323532333705273</v>
      </c>
      <c r="P3" s="9">
        <v>23.045972653561691</v>
      </c>
    </row>
    <row r="4" spans="1:16">
      <c r="A4" s="26">
        <v>3</v>
      </c>
      <c r="B4" s="9">
        <v>22.138856487172298</v>
      </c>
      <c r="C4" s="9">
        <v>22.37173734974013</v>
      </c>
      <c r="D4" s="9">
        <v>22.221314419182843</v>
      </c>
      <c r="E4" s="9">
        <v>22.173354661200339</v>
      </c>
      <c r="F4" s="9">
        <v>23.259209169530347</v>
      </c>
      <c r="G4" s="9">
        <v>24.024982860448095</v>
      </c>
      <c r="H4" s="9">
        <v>23.862589663606748</v>
      </c>
      <c r="I4" s="9">
        <v>23.63273417737733</v>
      </c>
      <c r="J4" s="29">
        <v>23.621088637991125</v>
      </c>
      <c r="K4" s="9">
        <v>23.227121326612714</v>
      </c>
      <c r="L4" s="9">
        <v>22.767049957447231</v>
      </c>
      <c r="M4" s="9">
        <v>22.593363443739356</v>
      </c>
      <c r="N4" s="9">
        <v>23.371654112387695</v>
      </c>
      <c r="O4" s="9">
        <v>23.306856032710471</v>
      </c>
      <c r="P4" s="9">
        <v>24.301306877474506</v>
      </c>
    </row>
    <row r="5" spans="1:16">
      <c r="A5" s="26">
        <v>4</v>
      </c>
      <c r="B5" s="9">
        <v>21.712977698102176</v>
      </c>
      <c r="C5" s="9">
        <v>21.918761712525637</v>
      </c>
      <c r="D5" s="9">
        <v>21.995140439946269</v>
      </c>
      <c r="E5" s="9">
        <v>22.717240709021176</v>
      </c>
      <c r="F5" s="9">
        <v>22.598742769844943</v>
      </c>
      <c r="G5" s="9">
        <v>23.064773795873915</v>
      </c>
      <c r="H5" s="9">
        <v>23.668301997122104</v>
      </c>
      <c r="I5" s="9">
        <v>23.540585395710316</v>
      </c>
      <c r="J5" s="29">
        <v>23.997042512546482</v>
      </c>
      <c r="K5" s="9">
        <v>25.504693512737962</v>
      </c>
      <c r="L5" s="9">
        <v>25.492257400718245</v>
      </c>
      <c r="M5" s="9">
        <v>25.809230780155715</v>
      </c>
      <c r="N5" s="9">
        <v>25.758828517752232</v>
      </c>
      <c r="O5" s="9">
        <v>25.983265493135935</v>
      </c>
      <c r="P5" s="9">
        <v>25.75188385678592</v>
      </c>
    </row>
    <row r="6" spans="1:16">
      <c r="A6" s="26">
        <v>5</v>
      </c>
      <c r="B6" s="9">
        <v>21.760693668454589</v>
      </c>
      <c r="C6" s="9">
        <v>21.682861878222432</v>
      </c>
      <c r="D6" s="9">
        <v>21.962298923623951</v>
      </c>
      <c r="E6" s="9">
        <v>21.882054613115436</v>
      </c>
      <c r="F6" s="9">
        <v>22.197298358940653</v>
      </c>
      <c r="G6" s="9">
        <v>22.069231812608919</v>
      </c>
      <c r="H6" s="9">
        <v>21.880257830135967</v>
      </c>
      <c r="I6" s="9">
        <v>21.995475681124308</v>
      </c>
      <c r="J6" s="29">
        <v>21.656417063603357</v>
      </c>
      <c r="K6" s="9">
        <v>21.86377969771906</v>
      </c>
      <c r="L6" s="9">
        <v>22.309414924310605</v>
      </c>
      <c r="M6" s="9">
        <v>22.956253886016782</v>
      </c>
      <c r="N6" s="9">
        <v>23.26730713657901</v>
      </c>
      <c r="O6" s="9">
        <v>22.634534500374333</v>
      </c>
      <c r="P6" s="9">
        <v>22.959142819509463</v>
      </c>
    </row>
    <row r="7" spans="1:16">
      <c r="A7" s="26">
        <v>6</v>
      </c>
      <c r="B7" s="9">
        <v>21.594114154911452</v>
      </c>
      <c r="C7" s="9">
        <v>21.861262738314288</v>
      </c>
      <c r="D7" s="9">
        <v>22.75053784886212</v>
      </c>
      <c r="E7" s="9">
        <v>22.481740492054371</v>
      </c>
      <c r="F7" s="9">
        <v>23.309902500797836</v>
      </c>
      <c r="G7" s="9">
        <v>22.81581557806118</v>
      </c>
      <c r="H7" s="9">
        <v>23.876884057994189</v>
      </c>
      <c r="I7" s="9">
        <v>24.542252848417903</v>
      </c>
      <c r="J7" s="29">
        <v>25.212718984598936</v>
      </c>
      <c r="K7" s="9">
        <v>25.236528474705825</v>
      </c>
      <c r="L7" s="9">
        <v>26.240004277897018</v>
      </c>
      <c r="M7" s="9">
        <v>25.707271940249981</v>
      </c>
      <c r="N7" s="9">
        <v>25.787864866337106</v>
      </c>
      <c r="O7" s="9">
        <v>25.953810591036742</v>
      </c>
      <c r="P7" s="9">
        <v>25.411821539232701</v>
      </c>
    </row>
    <row r="8" spans="1:16">
      <c r="A8" s="26">
        <v>7</v>
      </c>
      <c r="B8" s="9">
        <v>21.690004226362792</v>
      </c>
      <c r="C8" s="9">
        <v>22.18995451791843</v>
      </c>
      <c r="D8" s="9">
        <v>21.629657534972662</v>
      </c>
      <c r="E8" s="9">
        <v>21.53525355353354</v>
      </c>
      <c r="F8" s="9">
        <v>21.500468148987718</v>
      </c>
      <c r="G8" s="9">
        <v>21.942371166614301</v>
      </c>
      <c r="H8" s="9">
        <v>21.166508446159582</v>
      </c>
      <c r="I8" s="9">
        <v>20.96943432579387</v>
      </c>
      <c r="J8" s="29">
        <v>21.802369373636338</v>
      </c>
      <c r="K8" s="9">
        <v>22.180043981970055</v>
      </c>
      <c r="L8" s="9">
        <v>22.74345156679226</v>
      </c>
      <c r="M8" s="9">
        <v>22.929411758118288</v>
      </c>
      <c r="N8" s="9">
        <v>23.018429016918684</v>
      </c>
      <c r="O8" s="9">
        <v>22.775038425904967</v>
      </c>
      <c r="P8" s="9">
        <v>22.546961923687601</v>
      </c>
    </row>
    <row r="9" spans="1:16">
      <c r="A9" s="26">
        <v>8</v>
      </c>
      <c r="B9" s="9">
        <v>22.416924818934586</v>
      </c>
      <c r="C9" s="9">
        <v>22.623655389471882</v>
      </c>
      <c r="D9" s="9">
        <v>23.220241556715685</v>
      </c>
      <c r="E9" s="9">
        <v>23.625170398819968</v>
      </c>
      <c r="F9" s="9">
        <v>23.844513309726281</v>
      </c>
      <c r="G9" s="9">
        <v>23.5613726718416</v>
      </c>
      <c r="H9" s="9">
        <v>24.488180122605343</v>
      </c>
      <c r="I9" s="9">
        <v>24.949007724771587</v>
      </c>
      <c r="J9" s="29">
        <v>25.107446209879647</v>
      </c>
      <c r="K9" s="9">
        <v>25.067193589319988</v>
      </c>
      <c r="L9" s="9">
        <v>25.84010102095494</v>
      </c>
      <c r="M9" s="9">
        <v>24.905755284528443</v>
      </c>
      <c r="N9" s="9">
        <v>24.834511243360854</v>
      </c>
      <c r="O9" s="9">
        <v>25.12387284322531</v>
      </c>
      <c r="P9" s="9">
        <v>24.514108611751876</v>
      </c>
    </row>
    <row r="10" spans="1:16">
      <c r="A10" s="26">
        <v>9</v>
      </c>
      <c r="B10" s="9">
        <v>22.1023772124617</v>
      </c>
      <c r="C10" s="9">
        <v>22.352319576774139</v>
      </c>
      <c r="D10" s="9">
        <v>22.365746764179537</v>
      </c>
      <c r="E10" s="9">
        <v>21.80190821026968</v>
      </c>
      <c r="F10" s="9">
        <v>22.157962599577061</v>
      </c>
      <c r="G10" s="9">
        <v>22.274522371697778</v>
      </c>
      <c r="H10" s="9">
        <v>22.040947052610861</v>
      </c>
      <c r="I10" s="9">
        <v>22.376735591332622</v>
      </c>
      <c r="J10" s="29">
        <v>22.619368699367804</v>
      </c>
      <c r="K10" s="9">
        <v>23.154636718932895</v>
      </c>
      <c r="L10" s="9">
        <v>23.467291818095909</v>
      </c>
      <c r="M10" s="9">
        <v>23.066398715389933</v>
      </c>
      <c r="N10" s="9">
        <v>22.901698253459976</v>
      </c>
      <c r="O10" s="9">
        <v>22.669149636288939</v>
      </c>
      <c r="P10" s="9">
        <v>23.705137711061528</v>
      </c>
    </row>
    <row r="11" spans="1:16">
      <c r="A11" s="26">
        <v>10</v>
      </c>
      <c r="B11" s="9">
        <v>22.287849328140403</v>
      </c>
      <c r="C11" s="9">
        <v>21.636623392406172</v>
      </c>
      <c r="D11" s="9">
        <v>21.299414437809144</v>
      </c>
      <c r="E11" s="9">
        <v>21.582236674376766</v>
      </c>
      <c r="F11" s="9">
        <v>21.333579773596391</v>
      </c>
      <c r="G11" s="9">
        <v>21.577473571688682</v>
      </c>
      <c r="H11" s="9">
        <v>21.81174964264142</v>
      </c>
      <c r="I11" s="9">
        <v>21.823592511219399</v>
      </c>
      <c r="J11" s="29">
        <v>21.827192472331596</v>
      </c>
      <c r="K11" s="9">
        <v>22.474500449724978</v>
      </c>
      <c r="L11" s="9">
        <v>22.041190513884271</v>
      </c>
      <c r="M11" s="9">
        <v>21.57532094623517</v>
      </c>
      <c r="N11" s="9">
        <v>21.684709546279002</v>
      </c>
      <c r="O11" s="9">
        <v>21.497894679135197</v>
      </c>
      <c r="P11" s="9">
        <v>21.258939119504152</v>
      </c>
    </row>
    <row r="12" spans="1:16">
      <c r="A12" s="26">
        <v>11</v>
      </c>
      <c r="B12" s="9">
        <v>22.245427390117477</v>
      </c>
      <c r="C12" s="9">
        <v>21.62005715467027</v>
      </c>
      <c r="D12" s="9">
        <v>22.044291278986293</v>
      </c>
      <c r="E12" s="9">
        <v>23.03737880009303</v>
      </c>
      <c r="F12" s="9">
        <v>24.008562911931367</v>
      </c>
      <c r="G12" s="9">
        <v>24.102064133900935</v>
      </c>
      <c r="H12" s="9">
        <v>24.395525879376144</v>
      </c>
      <c r="I12" s="9">
        <v>24.55024794128731</v>
      </c>
      <c r="J12" s="29">
        <v>24.799041217947067</v>
      </c>
      <c r="K12" s="9">
        <v>25.300769622085593</v>
      </c>
      <c r="L12" s="9">
        <v>25.437721989392447</v>
      </c>
      <c r="M12" s="9">
        <v>24.948122048382622</v>
      </c>
      <c r="N12" s="9">
        <v>24.960807640988865</v>
      </c>
      <c r="O12" s="9">
        <v>25.483632081208714</v>
      </c>
      <c r="P12" s="9">
        <v>25.281906861503018</v>
      </c>
    </row>
    <row r="13" spans="1:16">
      <c r="A13" s="26">
        <v>12</v>
      </c>
      <c r="B13" s="9">
        <v>21.892184951619612</v>
      </c>
      <c r="C13" s="9">
        <v>22.006563648453447</v>
      </c>
      <c r="D13" s="9">
        <v>21.863517566744495</v>
      </c>
      <c r="E13" s="9">
        <v>21.814675506055764</v>
      </c>
      <c r="F13" s="9">
        <v>21.561502515812563</v>
      </c>
      <c r="G13" s="9">
        <v>21.343594658635833</v>
      </c>
      <c r="H13" s="9">
        <v>21.425479498804059</v>
      </c>
      <c r="I13" s="9">
        <v>21.54726868467279</v>
      </c>
      <c r="J13" s="29">
        <v>21.501629203446988</v>
      </c>
      <c r="K13" s="9">
        <v>21.990229525357421</v>
      </c>
      <c r="L13" s="9">
        <v>21.882080544857061</v>
      </c>
      <c r="M13" s="9">
        <v>21.742004180356002</v>
      </c>
      <c r="N13" s="9">
        <v>21.988854321478605</v>
      </c>
      <c r="O13" s="9">
        <v>22.946711696254532</v>
      </c>
      <c r="P13" s="9">
        <v>22.450586046279742</v>
      </c>
    </row>
    <row r="14" spans="1:16">
      <c r="A14" s="26">
        <v>13</v>
      </c>
      <c r="B14" s="9">
        <v>22.623553368315566</v>
      </c>
      <c r="C14" s="9">
        <v>23.024809693199977</v>
      </c>
      <c r="D14" s="9">
        <v>23.238464787193863</v>
      </c>
      <c r="E14" s="9">
        <v>23.503034297972551</v>
      </c>
      <c r="F14" s="9">
        <v>24.45680081135264</v>
      </c>
      <c r="G14" s="9">
        <v>24.63122677895603</v>
      </c>
      <c r="H14" s="9">
        <v>24.757235042715628</v>
      </c>
      <c r="I14" s="9">
        <v>25.028629186379462</v>
      </c>
      <c r="J14" s="29">
        <v>24.727700194203553</v>
      </c>
      <c r="K14" s="9">
        <v>25.224984100960281</v>
      </c>
      <c r="L14" s="9">
        <v>26.067121288323129</v>
      </c>
      <c r="M14" s="9">
        <v>25.851081841352425</v>
      </c>
      <c r="N14" s="9">
        <v>25.7545563172248</v>
      </c>
      <c r="O14" s="9">
        <v>26.382771944175538</v>
      </c>
      <c r="P14" s="9">
        <v>26.923585478313068</v>
      </c>
    </row>
    <row r="15" spans="1:16">
      <c r="A15" s="26">
        <v>14</v>
      </c>
      <c r="B15" s="9">
        <v>21.608213393833978</v>
      </c>
      <c r="C15" s="9">
        <v>21.548072623311551</v>
      </c>
      <c r="D15" s="9">
        <v>21.986629522158058</v>
      </c>
      <c r="E15" s="9">
        <v>21.37137616783955</v>
      </c>
      <c r="F15" s="9">
        <v>21.85650033045652</v>
      </c>
      <c r="G15" s="9">
        <v>21.862450556389991</v>
      </c>
      <c r="H15" s="9">
        <v>21.870317417384641</v>
      </c>
      <c r="I15" s="9">
        <v>21.990655595969681</v>
      </c>
      <c r="J15" s="29">
        <v>21.600918591703664</v>
      </c>
      <c r="K15" s="9">
        <v>21.301848876323344</v>
      </c>
      <c r="L15" s="9">
        <v>21.391550675460909</v>
      </c>
      <c r="M15" s="9">
        <v>21.245950865662802</v>
      </c>
      <c r="N15" s="9">
        <v>21.421260072222047</v>
      </c>
      <c r="O15" s="9">
        <v>21.548145053991245</v>
      </c>
      <c r="P15" s="9">
        <v>21.484346027532112</v>
      </c>
    </row>
    <row r="16" spans="1:16">
      <c r="A16" s="26">
        <v>15</v>
      </c>
      <c r="B16" s="9">
        <v>22.09640923967919</v>
      </c>
      <c r="C16" s="9">
        <v>22.008735650419638</v>
      </c>
      <c r="D16" s="9">
        <v>21.812209812799932</v>
      </c>
      <c r="E16" s="9">
        <v>22.162505981656935</v>
      </c>
      <c r="F16" s="9">
        <v>21.881868021223667</v>
      </c>
      <c r="G16" s="9">
        <v>22.354718185458015</v>
      </c>
      <c r="H16" s="9">
        <v>22.427352292790371</v>
      </c>
      <c r="I16" s="9">
        <v>23.022126376837036</v>
      </c>
      <c r="J16" s="29">
        <v>23.516827768832204</v>
      </c>
      <c r="K16" s="9">
        <v>23.125973612176395</v>
      </c>
      <c r="L16" s="9">
        <v>22.606373294256759</v>
      </c>
      <c r="M16" s="9">
        <v>22.186746074076822</v>
      </c>
      <c r="N16" s="9">
        <v>22.438971752296609</v>
      </c>
      <c r="O16" s="9">
        <v>22.338484790125836</v>
      </c>
      <c r="P16" s="9">
        <v>22.095809734859145</v>
      </c>
    </row>
    <row r="17" spans="1:16">
      <c r="A17" s="26">
        <v>16</v>
      </c>
      <c r="B17" s="9">
        <v>22.735263379996042</v>
      </c>
      <c r="C17" s="9">
        <v>22.576017066980665</v>
      </c>
      <c r="D17" s="9">
        <v>23.058289857762912</v>
      </c>
      <c r="E17" s="9">
        <v>24.008316224287601</v>
      </c>
      <c r="F17" s="9">
        <v>23.981374010492772</v>
      </c>
      <c r="G17" s="9">
        <v>24.19319958692375</v>
      </c>
      <c r="H17" s="9">
        <v>25.160394950449096</v>
      </c>
      <c r="I17" s="9">
        <v>25.49584729677456</v>
      </c>
      <c r="J17" s="29">
        <v>24.923410750685377</v>
      </c>
      <c r="K17" s="9">
        <v>24.619106616372658</v>
      </c>
      <c r="L17" s="9">
        <v>24.903868297547969</v>
      </c>
      <c r="M17" s="9">
        <v>25.374083805429148</v>
      </c>
      <c r="N17" s="9">
        <v>25.93380635956694</v>
      </c>
      <c r="O17" s="9">
        <v>26.17361276689817</v>
      </c>
      <c r="P17" s="9">
        <v>26.024190090182653</v>
      </c>
    </row>
    <row r="18" spans="1:16">
      <c r="A18" s="26">
        <v>17</v>
      </c>
      <c r="B18" s="9">
        <v>22.683409411742556</v>
      </c>
      <c r="C18" s="9">
        <v>21.875656801236296</v>
      </c>
      <c r="D18" s="9">
        <v>22.163815382891492</v>
      </c>
      <c r="E18" s="9">
        <v>22.132659802160607</v>
      </c>
      <c r="F18" s="9">
        <v>22.143495085552466</v>
      </c>
      <c r="G18" s="9">
        <v>22.11665970903433</v>
      </c>
      <c r="H18" s="9">
        <v>22.276472791138719</v>
      </c>
      <c r="I18" s="9">
        <v>22.674359939714126</v>
      </c>
      <c r="J18" s="29">
        <v>22.59561405251462</v>
      </c>
      <c r="K18" s="9">
        <v>22.51605980624727</v>
      </c>
      <c r="L18" s="9">
        <v>22.232278673601243</v>
      </c>
      <c r="M18" s="9">
        <v>22.140552951670067</v>
      </c>
      <c r="N18" s="9">
        <v>22.040111486770357</v>
      </c>
      <c r="O18" s="9">
        <v>21.394092616275334</v>
      </c>
      <c r="P18" s="9">
        <v>21.209361108218761</v>
      </c>
    </row>
    <row r="19" spans="1:16">
      <c r="A19" s="26">
        <v>18</v>
      </c>
      <c r="B19" s="9">
        <v>21.535534685625663</v>
      </c>
      <c r="C19" s="9">
        <v>21.583138337661239</v>
      </c>
      <c r="D19" s="9">
        <v>21.730223005320283</v>
      </c>
      <c r="E19" s="9">
        <v>21.63882258770127</v>
      </c>
      <c r="F19" s="9">
        <v>22.005340602634973</v>
      </c>
      <c r="G19" s="9">
        <v>21.840081997697332</v>
      </c>
      <c r="H19" s="9">
        <v>22.590323761211131</v>
      </c>
      <c r="I19" s="9">
        <v>22.71338030098374</v>
      </c>
      <c r="J19" s="29">
        <v>22.200437568127658</v>
      </c>
      <c r="K19" s="9">
        <v>22.137608954065033</v>
      </c>
      <c r="L19" s="9">
        <v>21.930771712147202</v>
      </c>
      <c r="M19" s="9">
        <v>21.903351437403376</v>
      </c>
      <c r="N19" s="9">
        <v>21.734109277651459</v>
      </c>
      <c r="O19" s="9">
        <v>21.559343997984019</v>
      </c>
      <c r="P19" s="9">
        <v>21.30699691534257</v>
      </c>
    </row>
    <row r="20" spans="1:16">
      <c r="A20" s="26">
        <v>19</v>
      </c>
      <c r="B20" s="9">
        <v>22.667948993772598</v>
      </c>
      <c r="C20" s="9">
        <v>23.021733232739077</v>
      </c>
      <c r="D20" s="9">
        <v>22.922803887168818</v>
      </c>
      <c r="E20" s="9">
        <v>23.43473221582655</v>
      </c>
      <c r="F20" s="9">
        <v>22.8860008943239</v>
      </c>
      <c r="G20" s="9">
        <v>23.179233072955636</v>
      </c>
      <c r="H20" s="9">
        <v>22.536759577325196</v>
      </c>
      <c r="I20" s="9">
        <v>23.386040421949964</v>
      </c>
      <c r="J20" s="29">
        <v>24.271549909498205</v>
      </c>
      <c r="K20" s="9">
        <v>24.455321049849694</v>
      </c>
      <c r="L20" s="9">
        <v>25.437319077312999</v>
      </c>
      <c r="M20" s="9">
        <v>26.473212408582267</v>
      </c>
      <c r="N20" s="9">
        <v>25.892277671491119</v>
      </c>
      <c r="O20" s="9">
        <v>26.474176143782152</v>
      </c>
      <c r="P20" s="9">
        <v>26.763841388357804</v>
      </c>
    </row>
    <row r="21" spans="1:16">
      <c r="A21" s="26">
        <v>20</v>
      </c>
      <c r="B21" s="9">
        <v>21.943709911658292</v>
      </c>
      <c r="C21" s="9">
        <v>21.388663177748512</v>
      </c>
      <c r="D21" s="9">
        <v>21.987658640491922</v>
      </c>
      <c r="E21" s="9">
        <v>21.648884878286033</v>
      </c>
      <c r="F21" s="9">
        <v>21.198078875425331</v>
      </c>
      <c r="G21" s="9">
        <v>20.921901333797848</v>
      </c>
      <c r="H21" s="9">
        <v>21.634168415080602</v>
      </c>
      <c r="I21" s="9">
        <v>21.713532743681458</v>
      </c>
      <c r="J21" s="29">
        <v>22.205953720412531</v>
      </c>
      <c r="K21" s="9">
        <v>21.371630077168501</v>
      </c>
      <c r="L21" s="9">
        <v>21.973402809008508</v>
      </c>
      <c r="M21" s="9">
        <v>22.334110152665236</v>
      </c>
      <c r="N21" s="9">
        <v>22.546968253836436</v>
      </c>
      <c r="O21" s="9">
        <v>22.4007960989941</v>
      </c>
      <c r="P21" s="9">
        <v>22.246744254000106</v>
      </c>
    </row>
    <row r="22" spans="1:16">
      <c r="A22" s="26">
        <v>21</v>
      </c>
      <c r="B22" s="9">
        <v>21.594768284001617</v>
      </c>
      <c r="C22" s="9">
        <v>22.011507645445587</v>
      </c>
      <c r="D22" s="9">
        <v>22.311622604288672</v>
      </c>
      <c r="E22" s="9">
        <v>22.782644256457253</v>
      </c>
      <c r="F22" s="9">
        <v>22.819616889607218</v>
      </c>
      <c r="G22" s="9">
        <v>23.013665785650762</v>
      </c>
      <c r="H22" s="9">
        <v>23.645075170180558</v>
      </c>
      <c r="I22" s="9">
        <v>23.821446998051226</v>
      </c>
      <c r="J22" s="29">
        <v>24.069435124854838</v>
      </c>
      <c r="K22" s="9">
        <v>24.170376800071601</v>
      </c>
      <c r="L22" s="9">
        <v>24.487457499145972</v>
      </c>
      <c r="M22" s="9">
        <v>25.103057071735332</v>
      </c>
      <c r="N22" s="9">
        <v>24.73588120136872</v>
      </c>
      <c r="O22" s="9">
        <v>24.82693144148574</v>
      </c>
      <c r="P22" s="9">
        <v>25.035889316664971</v>
      </c>
    </row>
    <row r="23" spans="1:16">
      <c r="A23" s="26">
        <v>22</v>
      </c>
      <c r="B23" s="9">
        <v>22.697289509474491</v>
      </c>
      <c r="C23" s="9">
        <v>23.349227953155356</v>
      </c>
      <c r="D23" s="9">
        <v>22.732615027987602</v>
      </c>
      <c r="E23" s="9">
        <v>22.824791085827744</v>
      </c>
      <c r="F23" s="9">
        <v>22.978680951221794</v>
      </c>
      <c r="G23" s="9">
        <v>22.601257927241043</v>
      </c>
      <c r="H23" s="9">
        <v>22.60679353697163</v>
      </c>
      <c r="I23" s="9">
        <v>23.184292775568476</v>
      </c>
      <c r="J23" s="29">
        <v>23.265583333398656</v>
      </c>
      <c r="K23" s="9">
        <v>22.710195531755488</v>
      </c>
      <c r="L23" s="9">
        <v>22.26993637676086</v>
      </c>
      <c r="M23" s="9">
        <v>22.504845628731157</v>
      </c>
      <c r="N23" s="9">
        <v>22.621995541888527</v>
      </c>
      <c r="O23" s="9">
        <v>23.06711468792961</v>
      </c>
      <c r="P23" s="9">
        <v>23.156963036301143</v>
      </c>
    </row>
    <row r="24" spans="1:16">
      <c r="A24" s="26">
        <v>23</v>
      </c>
      <c r="B24" s="9">
        <v>21.922062875457389</v>
      </c>
      <c r="C24" s="9">
        <v>21.641503392233194</v>
      </c>
      <c r="D24" s="9">
        <v>21.778775994666567</v>
      </c>
      <c r="E24" s="9">
        <v>22.510059684207096</v>
      </c>
      <c r="F24" s="9">
        <v>22.426145966554071</v>
      </c>
      <c r="G24" s="9">
        <v>22.839192542438646</v>
      </c>
      <c r="H24" s="9">
        <v>22.957506220971517</v>
      </c>
      <c r="I24" s="9">
        <v>23.651296709871861</v>
      </c>
      <c r="J24" s="29">
        <v>22.792708786773929</v>
      </c>
      <c r="K24" s="9">
        <v>22.099250633967205</v>
      </c>
      <c r="L24" s="9">
        <v>22.041081811088009</v>
      </c>
      <c r="M24" s="9">
        <v>22.264792657288517</v>
      </c>
      <c r="N24" s="9">
        <v>22.00941542910892</v>
      </c>
      <c r="O24" s="9">
        <v>22.260767306572038</v>
      </c>
      <c r="P24" s="9">
        <v>22.765992635234845</v>
      </c>
    </row>
    <row r="25" spans="1:16">
      <c r="A25" s="26">
        <v>24</v>
      </c>
      <c r="B25" s="9">
        <v>21.775205926315198</v>
      </c>
      <c r="C25" s="9">
        <v>21.910118178788736</v>
      </c>
      <c r="D25" s="9">
        <v>21.873834210410486</v>
      </c>
      <c r="E25" s="9">
        <v>21.5446733702329</v>
      </c>
      <c r="F25" s="9">
        <v>21.740138506900731</v>
      </c>
      <c r="G25" s="9">
        <v>22.572796160894267</v>
      </c>
      <c r="H25" s="9">
        <v>22.391450183108962</v>
      </c>
      <c r="I25" s="9">
        <v>22.787525027096351</v>
      </c>
      <c r="J25" s="29">
        <v>22.392981195447618</v>
      </c>
      <c r="K25" s="9">
        <v>21.945261439721271</v>
      </c>
      <c r="L25" s="9">
        <v>21.573046159462123</v>
      </c>
      <c r="M25" s="9">
        <v>21.989892094927409</v>
      </c>
      <c r="N25" s="9">
        <v>22.335585463834303</v>
      </c>
      <c r="O25" s="9">
        <v>22.552890933857483</v>
      </c>
      <c r="P25" s="9">
        <v>22.689152600494634</v>
      </c>
    </row>
    <row r="26" spans="1:16">
      <c r="A26" s="26">
        <v>25</v>
      </c>
      <c r="B26" s="9">
        <v>21.627108165195608</v>
      </c>
      <c r="C26" s="9">
        <v>21.411624025017591</v>
      </c>
      <c r="D26" s="9">
        <v>21.043876567533623</v>
      </c>
      <c r="E26" s="9">
        <v>20.607797874735112</v>
      </c>
      <c r="F26" s="9">
        <v>20.346322632384979</v>
      </c>
      <c r="G26" s="9">
        <v>19.882354614174179</v>
      </c>
      <c r="H26" s="9">
        <v>19.500215306057544</v>
      </c>
      <c r="I26" s="9">
        <v>19.575560994417131</v>
      </c>
      <c r="J26" s="29">
        <v>20.12087742457382</v>
      </c>
      <c r="K26" s="9">
        <v>19.896330364345332</v>
      </c>
      <c r="L26" s="9">
        <v>19.887614643452324</v>
      </c>
      <c r="M26" s="9">
        <v>19.29704836019318</v>
      </c>
      <c r="N26" s="9">
        <v>19.474475978476502</v>
      </c>
      <c r="O26" s="9">
        <v>19.450241100952077</v>
      </c>
      <c r="P26" s="9">
        <v>19.412634224094536</v>
      </c>
    </row>
    <row r="27" spans="1:16">
      <c r="A27" s="26">
        <v>26</v>
      </c>
      <c r="B27" s="9">
        <v>22.037819558434574</v>
      </c>
      <c r="C27" s="9">
        <v>21.896711160441459</v>
      </c>
      <c r="D27" s="9">
        <v>22.154777619804623</v>
      </c>
      <c r="E27" s="9">
        <v>21.882749734757468</v>
      </c>
      <c r="F27" s="9">
        <v>22.185537996261957</v>
      </c>
      <c r="G27" s="9">
        <v>22.015549263874419</v>
      </c>
      <c r="H27" s="9">
        <v>22.619890934704696</v>
      </c>
      <c r="I27" s="9">
        <v>21.884016380474876</v>
      </c>
      <c r="J27" s="29">
        <v>22.187619496285265</v>
      </c>
      <c r="K27" s="9">
        <v>22.256589807269954</v>
      </c>
      <c r="L27" s="9">
        <v>22.080583663722948</v>
      </c>
      <c r="M27" s="9">
        <v>22.207088892797412</v>
      </c>
      <c r="N27" s="9">
        <v>22.763521929837708</v>
      </c>
      <c r="O27" s="9">
        <v>22.948406694880173</v>
      </c>
      <c r="P27" s="9">
        <v>23.203010553011502</v>
      </c>
    </row>
    <row r="28" spans="1:16">
      <c r="A28" s="26">
        <v>27</v>
      </c>
      <c r="B28" s="9">
        <v>21.244190408183488</v>
      </c>
      <c r="C28" s="9">
        <v>21.392464470216872</v>
      </c>
      <c r="D28" s="9">
        <v>21.338634521262197</v>
      </c>
      <c r="E28" s="9">
        <v>21.772010656486117</v>
      </c>
      <c r="F28" s="9">
        <v>21.377673481667014</v>
      </c>
      <c r="G28" s="9">
        <v>20.373623344312698</v>
      </c>
      <c r="H28" s="9">
        <v>19.957567932338126</v>
      </c>
      <c r="I28" s="9">
        <v>19.484074071124439</v>
      </c>
      <c r="J28" s="29">
        <v>19.539896143129287</v>
      </c>
      <c r="K28" s="9">
        <v>19.654465798188145</v>
      </c>
      <c r="L28" s="9">
        <v>19.58127591273551</v>
      </c>
      <c r="M28" s="9">
        <v>19.278975820268869</v>
      </c>
      <c r="N28" s="9">
        <v>18.958788556810067</v>
      </c>
      <c r="O28" s="9">
        <v>18.761855765357243</v>
      </c>
      <c r="P28" s="9">
        <v>18.567043344318389</v>
      </c>
    </row>
    <row r="29" spans="1:16">
      <c r="A29" s="26">
        <v>28</v>
      </c>
      <c r="B29" s="9">
        <v>22.21660236201949</v>
      </c>
      <c r="C29" s="9">
        <v>22.01421328366607</v>
      </c>
      <c r="D29" s="9">
        <v>21.822168470941428</v>
      </c>
      <c r="E29" s="9">
        <v>21.330294160828792</v>
      </c>
      <c r="F29" s="9">
        <v>21.794627906721388</v>
      </c>
      <c r="G29" s="9">
        <v>22.138858473023589</v>
      </c>
      <c r="H29" s="9">
        <v>22.39536032991435</v>
      </c>
      <c r="I29" s="9">
        <v>23.252586417492768</v>
      </c>
      <c r="J29" s="29">
        <v>23.520939321230411</v>
      </c>
      <c r="K29" s="9">
        <v>23.710968797487922</v>
      </c>
      <c r="L29" s="9">
        <v>23.317023507368326</v>
      </c>
      <c r="M29" s="9">
        <v>24.113247377529234</v>
      </c>
      <c r="N29" s="9">
        <v>23.799018747691235</v>
      </c>
      <c r="O29" s="9">
        <v>23.962807793229626</v>
      </c>
      <c r="P29" s="9">
        <v>23.757189682269132</v>
      </c>
    </row>
    <row r="30" spans="1:16">
      <c r="A30" s="26">
        <v>29</v>
      </c>
      <c r="B30" s="9">
        <v>21.911656390837358</v>
      </c>
      <c r="C30" s="9">
        <v>22.403337281101813</v>
      </c>
      <c r="D30" s="9">
        <v>23.092657637908282</v>
      </c>
      <c r="E30" s="9">
        <v>24.09127497625585</v>
      </c>
      <c r="F30" s="9">
        <v>23.24272017088451</v>
      </c>
      <c r="G30" s="9">
        <v>23.587606112068162</v>
      </c>
      <c r="H30" s="9">
        <v>24.011110105675936</v>
      </c>
      <c r="I30" s="9">
        <v>23.943424918549674</v>
      </c>
      <c r="J30" s="29">
        <v>24.460245828552136</v>
      </c>
      <c r="K30" s="9">
        <v>25.184462958851057</v>
      </c>
      <c r="L30" s="9">
        <v>25.709461313552143</v>
      </c>
      <c r="M30" s="9">
        <v>26.192044322337516</v>
      </c>
      <c r="N30" s="9">
        <v>26.897985889958608</v>
      </c>
      <c r="O30" s="9">
        <v>26.19335372139733</v>
      </c>
      <c r="P30" s="9">
        <v>25.959490888602186</v>
      </c>
    </row>
    <row r="31" spans="1:16">
      <c r="A31" s="26">
        <v>30</v>
      </c>
      <c r="B31" s="9">
        <v>21.985506930944794</v>
      </c>
      <c r="C31" s="9">
        <v>22.145126471214979</v>
      </c>
      <c r="D31" s="9">
        <v>21.95417944628921</v>
      </c>
      <c r="E31" s="9">
        <v>22.170422749504532</v>
      </c>
      <c r="F31" s="9">
        <v>22.581424914659522</v>
      </c>
      <c r="G31" s="9">
        <v>22.865579710271742</v>
      </c>
      <c r="H31" s="9">
        <v>22.787753292455132</v>
      </c>
      <c r="I31" s="9">
        <v>22.70925968252638</v>
      </c>
      <c r="J31" s="29">
        <v>22.812224113003776</v>
      </c>
      <c r="K31" s="9">
        <v>23.389337935692676</v>
      </c>
      <c r="L31" s="9">
        <v>24.005912371043195</v>
      </c>
      <c r="M31" s="9">
        <v>24.515387808403904</v>
      </c>
      <c r="N31" s="9">
        <v>24.66239148163838</v>
      </c>
      <c r="O31" s="9">
        <v>24.634797473683506</v>
      </c>
      <c r="P31" s="9">
        <v>24.668107155256855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Data</vt:lpstr>
      <vt:lpstr>Statistics</vt:lpstr>
      <vt:lpstr>SCIB</vt:lpstr>
      <vt:lpstr>Matrix Z</vt:lpstr>
      <vt:lpstr>PS</vt:lpstr>
      <vt:lpstr>KCE</vt:lpstr>
      <vt:lpstr>CPF</vt:lpstr>
      <vt:lpstr>TPIP</vt:lpstr>
      <vt:lpstr>TCAP</vt:lpstr>
      <vt:lpstr>CholInx</vt:lpstr>
      <vt:lpstr>cholRange</vt:lpstr>
      <vt:lpstr>CorrInx</vt:lpstr>
      <vt:lpstr>corrRange</vt:lpstr>
      <vt:lpstr>CovarInx</vt:lpstr>
      <vt:lpstr>covRange</vt:lpstr>
      <vt:lpstr>DateInx</vt:lpstr>
      <vt:lpstr>firstObs</vt:lpstr>
      <vt:lpstr>initInvest</vt:lpstr>
      <vt:lpstr>MatZ</vt:lpstr>
      <vt:lpstr>mean</vt:lpstr>
      <vt:lpstr>means</vt:lpstr>
      <vt:lpstr>nLoop</vt:lpstr>
      <vt:lpstr>NumAsset</vt:lpstr>
      <vt:lpstr>NumPeriod</vt:lpstr>
      <vt:lpstr>NumSim</vt:lpstr>
      <vt:lpstr>PLInx</vt:lpstr>
      <vt:lpstr>portRet</vt:lpstr>
      <vt:lpstr>portStd</vt:lpstr>
      <vt:lpstr>PriceInx</vt:lpstr>
      <vt:lpstr>ReturnInx</vt:lpstr>
      <vt:lpstr>returnRange</vt:lpstr>
      <vt:lpstr>RF</vt:lpstr>
      <vt:lpstr>SceneINx</vt:lpstr>
      <vt:lpstr>SCIB_MUE</vt:lpstr>
      <vt:lpstr>SCIB_S0</vt:lpstr>
      <vt:lpstr>SCIB_SIGMA</vt:lpstr>
      <vt:lpstr>sharpe</vt:lpstr>
      <vt:lpstr>statRange</vt:lpstr>
      <vt:lpstr>std</vt:lpstr>
      <vt:lpstr>totCap</vt:lpstr>
      <vt:lpstr>UnitInx</vt:lpstr>
      <vt:lpstr>VaR</vt:lpstr>
      <vt:lpstr>vol</vt:lpstr>
      <vt:lpstr>weightInx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Siraprapa Watakit</dc:creator>
  <cp:lastModifiedBy>Siraprapa Watakit</cp:lastModifiedBy>
  <cp:lastPrinted>2014-09-19T23:25:25Z</cp:lastPrinted>
  <dcterms:created xsi:type="dcterms:W3CDTF">1996-10-14T23:33:28Z</dcterms:created>
  <dcterms:modified xsi:type="dcterms:W3CDTF">2014-09-19T23:55:05Z</dcterms:modified>
</cp:coreProperties>
</file>