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5135" windowHeight="9300" activeTab="3"/>
  </bookViews>
  <sheets>
    <sheet name="Data" sheetId="2" r:id="rId1"/>
    <sheet name="Statistics" sheetId="3" r:id="rId2"/>
    <sheet name="SCIB" sheetId="6" r:id="rId3"/>
    <sheet name="Matrix Z" sheetId="12" r:id="rId4"/>
    <sheet name="PS" sheetId="7" r:id="rId5"/>
    <sheet name="KCE" sheetId="8" r:id="rId6"/>
    <sheet name="CPF" sheetId="9" r:id="rId7"/>
    <sheet name="TPIP" sheetId="10" r:id="rId8"/>
    <sheet name="TCAP" sheetId="11" r:id="rId9"/>
  </sheets>
  <definedNames>
    <definedName name="CholInx">Statistics!$B$22</definedName>
    <definedName name="cholRange">Statistics!$B$22:$G$27</definedName>
    <definedName name="CorrInx">Statistics!$B$14</definedName>
    <definedName name="corrRange">Statistics!$B$14:$G$19</definedName>
    <definedName name="CovarInx">Statistics!$B$6</definedName>
    <definedName name="covRange">Statistics!$B$6:$G$11</definedName>
    <definedName name="DateInx">Data!$A$2</definedName>
    <definedName name="firstObs">Data!$B$3</definedName>
    <definedName name="initInvest">Data!$S$24</definedName>
    <definedName name="MatZ">'Matrix Z'!$A$2:$F$32</definedName>
    <definedName name="mean">Data!$W$25</definedName>
    <definedName name="means">Statistics!$A$2</definedName>
    <definedName name="nLoop">Data!$W$15</definedName>
    <definedName name="NumAsset">Data!$Q$6</definedName>
    <definedName name="NumPeriod">Data!$Q$5</definedName>
    <definedName name="NumSim">Data!$Q$4</definedName>
    <definedName name="PLInx">Data!$Q$26</definedName>
    <definedName name="portRet">Data!$T$28</definedName>
    <definedName name="portStd">Data!$T$29</definedName>
    <definedName name="PriceInx">Data!$Q$17</definedName>
    <definedName name="ReturnInx">Data!$I$3</definedName>
    <definedName name="returnRange">Data!$I$4:$N$245</definedName>
    <definedName name="RF">Data!$W$16</definedName>
    <definedName name="SceneINx">Data!$P$26</definedName>
    <definedName name="SCIB_MUE">Statistics!$B$2</definedName>
    <definedName name="SCIB_S0">Data!$Q$18</definedName>
    <definedName name="SCIB_SIGMA">Statistics!$B$3</definedName>
    <definedName name="sharpe">Data!$W$24</definedName>
    <definedName name="statRange">Statistics!$B$2:$G$3</definedName>
    <definedName name="std">Statistics!$A$3</definedName>
    <definedName name="totCap">Data!$T$15</definedName>
    <definedName name="UnitInx">Data!$R$17</definedName>
    <definedName name="VaR">Data!$T$27</definedName>
    <definedName name="vol">Data!$W$26</definedName>
    <definedName name="weightInx">Data!$T$17</definedName>
  </definedNames>
  <calcPr calcId="125725"/>
</workbook>
</file>

<file path=xl/calcChain.xml><?xml version="1.0" encoding="utf-8"?>
<calcChain xmlns="http://schemas.openxmlformats.org/spreadsheetml/2006/main">
  <c r="O2" i="12" a="1"/>
  <c r="Q2" s="1"/>
  <c r="V2"/>
  <c r="S19" i="2"/>
  <c r="R19"/>
  <c r="S20"/>
  <c r="R20"/>
  <c r="S21"/>
  <c r="R21"/>
  <c r="S22"/>
  <c r="R22"/>
  <c r="S23"/>
  <c r="R23"/>
  <c r="S18"/>
  <c r="R18"/>
  <c r="T24"/>
  <c r="J2"/>
  <c r="K2"/>
  <c r="L2"/>
  <c r="M2"/>
  <c r="N2"/>
  <c r="I2"/>
  <c r="S24"/>
  <c r="R30" i="12" l="1"/>
  <c r="P28"/>
  <c r="O25"/>
  <c r="R22"/>
  <c r="P20"/>
  <c r="R18"/>
  <c r="P16"/>
  <c r="S13"/>
  <c r="Q11"/>
  <c r="O9"/>
  <c r="R6"/>
  <c r="Q3"/>
  <c r="R31"/>
  <c r="S30"/>
  <c r="O30"/>
  <c r="P29"/>
  <c r="Q28"/>
  <c r="R27"/>
  <c r="S26"/>
  <c r="O26"/>
  <c r="P25"/>
  <c r="Q24"/>
  <c r="R23"/>
  <c r="S22"/>
  <c r="O22"/>
  <c r="P21"/>
  <c r="Q20"/>
  <c r="R19"/>
  <c r="S18"/>
  <c r="O18"/>
  <c r="P17"/>
  <c r="Q16"/>
  <c r="R15"/>
  <c r="S14"/>
  <c r="O14"/>
  <c r="P13"/>
  <c r="Q12"/>
  <c r="R11"/>
  <c r="S10"/>
  <c r="O10"/>
  <c r="P9"/>
  <c r="Q8"/>
  <c r="R7"/>
  <c r="S6"/>
  <c r="O6"/>
  <c r="P5"/>
  <c r="Q4"/>
  <c r="R3"/>
  <c r="S2"/>
  <c r="O2"/>
  <c r="Q31"/>
  <c r="O29"/>
  <c r="R26"/>
  <c r="P24"/>
  <c r="S21"/>
  <c r="Q19"/>
  <c r="O17"/>
  <c r="R14"/>
  <c r="P12"/>
  <c r="R10"/>
  <c r="P8"/>
  <c r="S5"/>
  <c r="O5"/>
  <c r="R2"/>
  <c r="S31"/>
  <c r="O31"/>
  <c r="P30"/>
  <c r="Q29"/>
  <c r="R28"/>
  <c r="S27"/>
  <c r="O27"/>
  <c r="P26"/>
  <c r="Q25"/>
  <c r="R24"/>
  <c r="S23"/>
  <c r="O23"/>
  <c r="P22"/>
  <c r="Q21"/>
  <c r="R20"/>
  <c r="S19"/>
  <c r="O19"/>
  <c r="P18"/>
  <c r="Q17"/>
  <c r="R16"/>
  <c r="S15"/>
  <c r="O15"/>
  <c r="P14"/>
  <c r="Q13"/>
  <c r="R12"/>
  <c r="S11"/>
  <c r="O11"/>
  <c r="P10"/>
  <c r="Q9"/>
  <c r="R8"/>
  <c r="S7"/>
  <c r="O7"/>
  <c r="P6"/>
  <c r="Q5"/>
  <c r="R4"/>
  <c r="S3"/>
  <c r="O3"/>
  <c r="P2"/>
  <c r="S29"/>
  <c r="Q27"/>
  <c r="S25"/>
  <c r="Q23"/>
  <c r="O21"/>
  <c r="S17"/>
  <c r="Q15"/>
  <c r="O13"/>
  <c r="S9"/>
  <c r="Q7"/>
  <c r="P4"/>
  <c r="P31"/>
  <c r="Q30"/>
  <c r="R29"/>
  <c r="S28"/>
  <c r="O28"/>
  <c r="P27"/>
  <c r="Q26"/>
  <c r="R25"/>
  <c r="S24"/>
  <c r="O24"/>
  <c r="P23"/>
  <c r="Q22"/>
  <c r="R21"/>
  <c r="S20"/>
  <c r="O20"/>
  <c r="P19"/>
  <c r="Q18"/>
  <c r="R17"/>
  <c r="S16"/>
  <c r="O16"/>
  <c r="P15"/>
  <c r="Q14"/>
  <c r="R13"/>
  <c r="S12"/>
  <c r="O12"/>
  <c r="P11"/>
  <c r="Q10"/>
  <c r="R9"/>
  <c r="S8"/>
  <c r="O8"/>
  <c r="P7"/>
  <c r="Q6"/>
  <c r="R5"/>
  <c r="S4"/>
  <c r="O4"/>
  <c r="P3"/>
  <c r="W2"/>
</calcChain>
</file>

<file path=xl/sharedStrings.xml><?xml version="1.0" encoding="utf-8"?>
<sst xmlns="http://schemas.openxmlformats.org/spreadsheetml/2006/main" count="96" uniqueCount="48">
  <si>
    <t>Date</t>
  </si>
  <si>
    <t>Historical Price</t>
  </si>
  <si>
    <t>Historical Return</t>
  </si>
  <si>
    <t>SCIB</t>
  </si>
  <si>
    <t>PS</t>
  </si>
  <si>
    <t>KCE</t>
  </si>
  <si>
    <t>CPF</t>
  </si>
  <si>
    <t>TPIP</t>
  </si>
  <si>
    <t>TCAP</t>
  </si>
  <si>
    <t>Daily Mean</t>
  </si>
  <si>
    <t>Daily Volatility</t>
  </si>
  <si>
    <t>Descriptive 
Statistics</t>
  </si>
  <si>
    <t>Covariance
Matrix</t>
  </si>
  <si>
    <t>Correlation
Matrix</t>
  </si>
  <si>
    <t>Cholesky
Matrix</t>
  </si>
  <si>
    <t>NumSim</t>
  </si>
  <si>
    <t>NumPeriod</t>
  </si>
  <si>
    <t>NumAsset</t>
  </si>
  <si>
    <t>Stock</t>
  </si>
  <si>
    <t>S0</t>
  </si>
  <si>
    <t>Unit</t>
  </si>
  <si>
    <t>Value</t>
  </si>
  <si>
    <t>Scene</t>
  </si>
  <si>
    <t>P/L</t>
  </si>
  <si>
    <t>Step1</t>
  </si>
  <si>
    <t>(then go to Statistics sheet)</t>
  </si>
  <si>
    <t>Step2</t>
  </si>
  <si>
    <t>Step3</t>
  </si>
  <si>
    <t>Step4</t>
  </si>
  <si>
    <t>Step5</t>
  </si>
  <si>
    <t>Step6 - Done!</t>
  </si>
  <si>
    <t>Check each asset price path!</t>
  </si>
  <si>
    <t>Total Capital</t>
  </si>
  <si>
    <t xml:space="preserve">Pre-req: Descriptive Stat </t>
  </si>
  <si>
    <t>and Covariance Matrix is Caled</t>
  </si>
  <si>
    <t>nLoop</t>
  </si>
  <si>
    <t>RF</t>
  </si>
  <si>
    <t>%Weight</t>
  </si>
  <si>
    <t>mean</t>
  </si>
  <si>
    <t>vol</t>
  </si>
  <si>
    <t>Shape</t>
  </si>
  <si>
    <t>port VaR</t>
  </si>
  <si>
    <t>port Return</t>
  </si>
  <si>
    <t>port Std</t>
  </si>
  <si>
    <t>Z matrix at Final t=nPeriod</t>
  </si>
  <si>
    <t>X=Z.transpose(cholesky) matrix at Final t=nPeriod</t>
  </si>
  <si>
    <t>SCIB at nPeriod-1</t>
  </si>
  <si>
    <t>SCIB at Final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</si>
</sst>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_-* #,##0.00_-;\-* #,##0.00_-;_-* &quot;-&quot;??_-;_-@_-"/>
    <numFmt numFmtId="165" formatCode="dd/mm/yyyy"/>
  </numFmts>
  <fonts count="12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6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5" fillId="2" borderId="1" xfId="0" applyFont="1" applyFill="1" applyBorder="1"/>
    <xf numFmtId="0" fontId="6" fillId="2" borderId="0" xfId="0" applyFont="1" applyFill="1"/>
    <xf numFmtId="0" fontId="7" fillId="2" borderId="1" xfId="0" applyFont="1" applyFill="1" applyBorder="1" applyAlignment="1">
      <alignment wrapText="1"/>
    </xf>
    <xf numFmtId="0" fontId="3" fillId="0" borderId="0" xfId="0" applyFont="1" applyFill="1"/>
    <xf numFmtId="0" fontId="3" fillId="0" borderId="1" xfId="0" applyFont="1" applyFill="1" applyBorder="1"/>
    <xf numFmtId="0" fontId="6" fillId="0" borderId="0" xfId="0" applyFont="1" applyFill="1"/>
    <xf numFmtId="0" fontId="5" fillId="0" borderId="0" xfId="0" applyFont="1" applyFill="1"/>
    <xf numFmtId="165" fontId="4" fillId="0" borderId="2" xfId="0" applyNumberFormat="1" applyFont="1" applyFill="1" applyBorder="1"/>
    <xf numFmtId="0" fontId="0" fillId="0" borderId="0" xfId="0" applyFill="1"/>
    <xf numFmtId="0" fontId="5" fillId="3" borderId="0" xfId="0" applyFont="1" applyFill="1"/>
    <xf numFmtId="0" fontId="5" fillId="4" borderId="0" xfId="0" applyFont="1" applyFill="1"/>
    <xf numFmtId="0" fontId="5" fillId="5" borderId="0" xfId="0" applyFont="1" applyFill="1"/>
    <xf numFmtId="0" fontId="8" fillId="5" borderId="0" xfId="0" applyFont="1" applyFill="1" applyAlignment="1">
      <alignment horizontal="center"/>
    </xf>
    <xf numFmtId="0" fontId="5" fillId="2" borderId="0" xfId="0" applyFont="1" applyFill="1"/>
    <xf numFmtId="0" fontId="3" fillId="6" borderId="0" xfId="0" applyFont="1" applyFill="1"/>
    <xf numFmtId="0" fontId="5" fillId="2" borderId="3" xfId="0" applyFont="1" applyFill="1" applyBorder="1"/>
    <xf numFmtId="0" fontId="5" fillId="2" borderId="1" xfId="0" applyFont="1" applyFill="1" applyBorder="1" applyAlignment="1">
      <alignment horizontal="center"/>
    </xf>
    <xf numFmtId="0" fontId="9" fillId="0" borderId="0" xfId="0" applyFont="1" applyFill="1"/>
    <xf numFmtId="0" fontId="5" fillId="2" borderId="4" xfId="0" applyFont="1" applyFill="1" applyBorder="1"/>
    <xf numFmtId="0" fontId="7" fillId="7" borderId="0" xfId="0" applyFont="1" applyFill="1"/>
    <xf numFmtId="43" fontId="3" fillId="6" borderId="0" xfId="1" applyFont="1" applyFill="1"/>
    <xf numFmtId="43" fontId="3" fillId="0" borderId="0" xfId="1" applyFont="1" applyFill="1"/>
    <xf numFmtId="164" fontId="3" fillId="0" borderId="0" xfId="0" applyNumberFormat="1" applyFont="1" applyFill="1" applyBorder="1"/>
    <xf numFmtId="9" fontId="3" fillId="6" borderId="0" xfId="0" applyNumberFormat="1" applyFont="1" applyFill="1"/>
    <xf numFmtId="0" fontId="5" fillId="2" borderId="5" xfId="0" applyFont="1" applyFill="1" applyBorder="1"/>
    <xf numFmtId="0" fontId="8" fillId="7" borderId="0" xfId="0" applyFont="1" applyFill="1" applyAlignment="1">
      <alignment horizontal="center"/>
    </xf>
    <xf numFmtId="0" fontId="10" fillId="0" borderId="0" xfId="0" applyFont="1" applyFill="1" applyBorder="1"/>
    <xf numFmtId="0" fontId="10" fillId="0" borderId="0" xfId="0" applyFont="1" applyFill="1"/>
    <xf numFmtId="0" fontId="11" fillId="0" borderId="0" xfId="0" applyFont="1" applyFill="1"/>
    <xf numFmtId="0" fontId="8" fillId="8" borderId="0" xfId="0" applyFont="1" applyFill="1" applyAlignment="1">
      <alignment horizontal="center"/>
    </xf>
    <xf numFmtId="0" fontId="8" fillId="5" borderId="0" xfId="0" applyFont="1" applyFill="1"/>
    <xf numFmtId="0" fontId="7" fillId="9" borderId="0" xfId="0" applyFont="1" applyFill="1"/>
    <xf numFmtId="9" fontId="3" fillId="6" borderId="0" xfId="2" applyFont="1" applyFill="1"/>
    <xf numFmtId="9" fontId="3" fillId="6" borderId="0" xfId="2" applyFont="1" applyFill="1" applyBorder="1"/>
    <xf numFmtId="0" fontId="7" fillId="9" borderId="0" xfId="0" applyFont="1" applyFill="1" applyBorder="1"/>
    <xf numFmtId="0" fontId="3" fillId="6" borderId="0" xfId="0" applyFont="1" applyFill="1" applyBorder="1"/>
    <xf numFmtId="10" fontId="3" fillId="6" borderId="0" xfId="2" applyNumberFormat="1" applyFont="1" applyFill="1" applyBorder="1"/>
    <xf numFmtId="4" fontId="9" fillId="6" borderId="0" xfId="1" applyNumberFormat="1" applyFont="1" applyFill="1"/>
    <xf numFmtId="0" fontId="3" fillId="10" borderId="0" xfId="0" applyFont="1" applyFill="1"/>
    <xf numFmtId="0" fontId="0" fillId="10" borderId="0" xfId="0" applyFill="1"/>
    <xf numFmtId="0" fontId="3" fillId="11" borderId="0" xfId="0" applyFont="1" applyFill="1"/>
    <xf numFmtId="0" fontId="0" fillId="11" borderId="0" xfId="0" applyFill="1"/>
    <xf numFmtId="0" fontId="3" fillId="12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control" Target="../activeX/activeX6.xml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W245"/>
  <sheetViews>
    <sheetView workbookViewId="0">
      <selection activeCell="P15" sqref="P15"/>
    </sheetView>
  </sheetViews>
  <sheetFormatPr defaultRowHeight="12.75"/>
  <cols>
    <col min="1" max="1" width="10.42578125" style="4" customWidth="1"/>
    <col min="2" max="2" width="6" style="4" bestFit="1" customWidth="1"/>
    <col min="3" max="6" width="5" style="4" bestFit="1" customWidth="1"/>
    <col min="7" max="7" width="5.85546875" style="4" bestFit="1" customWidth="1"/>
    <col min="8" max="8" width="2.140625" style="4" customWidth="1"/>
    <col min="9" max="14" width="9.140625" style="4"/>
    <col min="15" max="15" width="1.5703125" style="4" customWidth="1"/>
    <col min="16" max="16" width="10.140625" style="28" bestFit="1" customWidth="1"/>
    <col min="17" max="17" width="9.140625" style="4"/>
    <col min="18" max="18" width="11.28515625" style="4" customWidth="1"/>
    <col min="19" max="20" width="12.85546875" style="4" bestFit="1" customWidth="1"/>
    <col min="21" max="16384" width="9.140625" style="4"/>
  </cols>
  <sheetData>
    <row r="1" spans="1:23" ht="15.75">
      <c r="A1" s="2" t="s">
        <v>1</v>
      </c>
      <c r="B1" s="2"/>
      <c r="C1" s="2"/>
      <c r="D1" s="2"/>
      <c r="E1" s="2"/>
      <c r="F1" s="2"/>
      <c r="G1" s="2"/>
      <c r="H1" s="6"/>
      <c r="I1" s="2" t="s">
        <v>2</v>
      </c>
      <c r="J1" s="2"/>
      <c r="K1" s="2"/>
      <c r="L1" s="2"/>
      <c r="M1" s="2"/>
      <c r="N1" s="2"/>
      <c r="P1" s="4"/>
    </row>
    <row r="2" spans="1:23">
      <c r="A2" s="1" t="s">
        <v>0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7"/>
      <c r="I2" s="1" t="str">
        <f t="shared" ref="I2:N2" si="0">B2</f>
        <v>SCIB</v>
      </c>
      <c r="J2" s="1" t="str">
        <f t="shared" si="0"/>
        <v>PS</v>
      </c>
      <c r="K2" s="1" t="str">
        <f t="shared" si="0"/>
        <v>KCE</v>
      </c>
      <c r="L2" s="1" t="str">
        <f t="shared" si="0"/>
        <v>CPF</v>
      </c>
      <c r="M2" s="1" t="str">
        <f t="shared" si="0"/>
        <v>TPIP</v>
      </c>
      <c r="N2" s="1" t="str">
        <f t="shared" si="0"/>
        <v>TCAP</v>
      </c>
      <c r="P2" s="4"/>
    </row>
    <row r="3" spans="1:23">
      <c r="A3" s="8">
        <v>39783</v>
      </c>
      <c r="B3" s="4">
        <v>6.6</v>
      </c>
      <c r="C3" s="4">
        <v>3.42</v>
      </c>
      <c r="D3" s="4">
        <v>1.04</v>
      </c>
      <c r="E3" s="4">
        <v>2.8</v>
      </c>
      <c r="F3" s="4">
        <v>2.42</v>
      </c>
      <c r="G3" s="4">
        <v>6.7</v>
      </c>
      <c r="P3" s="4"/>
    </row>
    <row r="4" spans="1:23">
      <c r="A4" s="8">
        <v>39784</v>
      </c>
      <c r="B4" s="4">
        <v>6.2</v>
      </c>
      <c r="C4" s="4">
        <v>3.42</v>
      </c>
      <c r="D4" s="4">
        <v>1.0900000000000001</v>
      </c>
      <c r="E4" s="4">
        <v>2.8</v>
      </c>
      <c r="F4" s="4">
        <v>2.48</v>
      </c>
      <c r="G4" s="4">
        <v>6.55</v>
      </c>
      <c r="I4" s="4">
        <v>-6.252035698133393E-2</v>
      </c>
      <c r="J4" s="4">
        <v>0</v>
      </c>
      <c r="K4" s="4">
        <v>4.6956983087771083E-2</v>
      </c>
      <c r="L4" s="4">
        <v>0</v>
      </c>
      <c r="M4" s="4">
        <v>2.4491020008295696E-2</v>
      </c>
      <c r="N4" s="4">
        <v>-2.2642476749759891E-2</v>
      </c>
      <c r="P4" s="10" t="s">
        <v>15</v>
      </c>
      <c r="Q4" s="10">
        <v>30</v>
      </c>
    </row>
    <row r="5" spans="1:23">
      <c r="A5" s="8">
        <v>39785</v>
      </c>
      <c r="B5" s="4">
        <v>6.25</v>
      </c>
      <c r="C5" s="4">
        <v>3.46</v>
      </c>
      <c r="D5" s="4">
        <v>1.1100000000000001</v>
      </c>
      <c r="E5" s="4">
        <v>2.84</v>
      </c>
      <c r="F5" s="4">
        <v>2.44</v>
      </c>
      <c r="G5" s="4">
        <v>6.65</v>
      </c>
      <c r="I5" s="4">
        <v>8.0321716972642527E-3</v>
      </c>
      <c r="J5" s="4">
        <v>1.1628037995119214E-2</v>
      </c>
      <c r="K5" s="4">
        <v>1.8182319083190547E-2</v>
      </c>
      <c r="L5" s="4">
        <v>1.4184634991956381E-2</v>
      </c>
      <c r="M5" s="4">
        <v>-1.6260520871780291E-2</v>
      </c>
      <c r="N5" s="4">
        <v>1.5151805020602246E-2</v>
      </c>
      <c r="P5" s="12" t="s">
        <v>16</v>
      </c>
      <c r="Q5" s="12">
        <v>15</v>
      </c>
    </row>
    <row r="6" spans="1:23">
      <c r="A6" s="8">
        <v>39786</v>
      </c>
      <c r="B6" s="4">
        <v>6.15</v>
      </c>
      <c r="C6" s="4">
        <v>3.3</v>
      </c>
      <c r="D6" s="4">
        <v>1.1100000000000001</v>
      </c>
      <c r="E6" s="4">
        <v>2.84</v>
      </c>
      <c r="F6" s="4">
        <v>2.44</v>
      </c>
      <c r="G6" s="4">
        <v>6.35</v>
      </c>
      <c r="I6" s="4">
        <v>-1.6129381929883529E-2</v>
      </c>
      <c r="J6" s="4">
        <v>-4.7346120597198428E-2</v>
      </c>
      <c r="K6" s="4">
        <v>0</v>
      </c>
      <c r="L6" s="4">
        <v>0</v>
      </c>
      <c r="M6" s="4">
        <v>0</v>
      </c>
      <c r="N6" s="4">
        <v>-4.6162041763162603E-2</v>
      </c>
      <c r="P6" s="11" t="s">
        <v>17</v>
      </c>
      <c r="Q6" s="11">
        <v>6</v>
      </c>
    </row>
    <row r="7" spans="1:23">
      <c r="A7" s="8">
        <v>39790</v>
      </c>
      <c r="B7" s="4">
        <v>6.45</v>
      </c>
      <c r="C7" s="4">
        <v>3.96</v>
      </c>
      <c r="D7" s="4">
        <v>1.1100000000000001</v>
      </c>
      <c r="E7" s="4">
        <v>2.86</v>
      </c>
      <c r="F7" s="4">
        <v>2.5</v>
      </c>
      <c r="G7" s="4">
        <v>7</v>
      </c>
      <c r="I7" s="4">
        <v>4.7628048989254664E-2</v>
      </c>
      <c r="J7" s="4">
        <v>0.18232155679395459</v>
      </c>
      <c r="K7" s="4">
        <v>0</v>
      </c>
      <c r="L7" s="4">
        <v>7.0175726586465398E-3</v>
      </c>
      <c r="M7" s="4">
        <v>2.4292692569044483E-2</v>
      </c>
      <c r="N7" s="4">
        <v>9.7455336150713057E-2</v>
      </c>
      <c r="P7" s="4"/>
    </row>
    <row r="8" spans="1:23">
      <c r="A8" s="8">
        <v>39791</v>
      </c>
      <c r="B8" s="4">
        <v>6.8</v>
      </c>
      <c r="C8" s="4">
        <v>4.0599999999999996</v>
      </c>
      <c r="D8" s="4">
        <v>1.1000000000000001</v>
      </c>
      <c r="E8" s="4">
        <v>2.92</v>
      </c>
      <c r="F8" s="4">
        <v>2.62</v>
      </c>
      <c r="G8" s="4">
        <v>7</v>
      </c>
      <c r="I8" s="4">
        <v>5.2842481374379774E-2</v>
      </c>
      <c r="J8" s="4">
        <v>2.4938948347251931E-2</v>
      </c>
      <c r="K8" s="4">
        <v>-9.0498355199179273E-3</v>
      </c>
      <c r="L8" s="4">
        <v>2.0761991448429225E-2</v>
      </c>
      <c r="M8" s="4">
        <v>4.6883585898850458E-2</v>
      </c>
      <c r="N8" s="4">
        <v>0</v>
      </c>
      <c r="P8" s="4"/>
    </row>
    <row r="9" spans="1:23">
      <c r="A9" s="8">
        <v>39793</v>
      </c>
      <c r="B9" s="4">
        <v>6.9</v>
      </c>
      <c r="C9" s="4">
        <v>3.8</v>
      </c>
      <c r="D9" s="4">
        <v>1.1000000000000001</v>
      </c>
      <c r="E9" s="4">
        <v>2.94</v>
      </c>
      <c r="F9" s="4">
        <v>2.6</v>
      </c>
      <c r="G9" s="4">
        <v>6.7</v>
      </c>
      <c r="I9" s="4">
        <v>1.4598799421152851E-2</v>
      </c>
      <c r="J9" s="4">
        <v>-6.61819068813011E-2</v>
      </c>
      <c r="K9" s="4">
        <v>0</v>
      </c>
      <c r="L9" s="4">
        <v>6.8259650703998906E-3</v>
      </c>
      <c r="M9" s="4">
        <v>-7.6628727455691371E-3</v>
      </c>
      <c r="N9" s="4">
        <v>-4.3802622658392888E-2</v>
      </c>
      <c r="P9" s="4"/>
    </row>
    <row r="10" spans="1:23">
      <c r="A10" s="8">
        <v>39794</v>
      </c>
      <c r="B10" s="4">
        <v>6.95</v>
      </c>
      <c r="C10" s="4">
        <v>3.9</v>
      </c>
      <c r="D10" s="4">
        <v>1.0900000000000001</v>
      </c>
      <c r="E10" s="4">
        <v>2.94</v>
      </c>
      <c r="F10" s="4">
        <v>2.6</v>
      </c>
      <c r="G10" s="4">
        <v>6.7</v>
      </c>
      <c r="I10" s="4">
        <v>7.2202479734870973E-3</v>
      </c>
      <c r="J10" s="4">
        <v>2.5975486403260736E-2</v>
      </c>
      <c r="K10" s="4">
        <v>-9.1324835632725868E-3</v>
      </c>
      <c r="L10" s="4">
        <v>0</v>
      </c>
      <c r="M10" s="4">
        <v>0</v>
      </c>
      <c r="N10" s="4">
        <v>0</v>
      </c>
      <c r="P10" s="4"/>
      <c r="R10" s="18" t="s">
        <v>24</v>
      </c>
      <c r="S10" s="18" t="s">
        <v>25</v>
      </c>
    </row>
    <row r="11" spans="1:23">
      <c r="A11" s="8">
        <v>39797</v>
      </c>
      <c r="B11" s="4">
        <v>6.9</v>
      </c>
      <c r="C11" s="4">
        <v>4.22</v>
      </c>
      <c r="D11" s="4">
        <v>1.06</v>
      </c>
      <c r="E11" s="4">
        <v>2.98</v>
      </c>
      <c r="F11" s="4">
        <v>2.76</v>
      </c>
      <c r="G11" s="4">
        <v>6.65</v>
      </c>
      <c r="I11" s="4">
        <v>-7.2202479734870201E-3</v>
      </c>
      <c r="J11" s="4">
        <v>7.8858574912319623E-2</v>
      </c>
      <c r="K11" s="4">
        <v>-2.7908788117076616E-2</v>
      </c>
      <c r="L11" s="4">
        <v>1.3513719166722855E-2</v>
      </c>
      <c r="M11" s="4">
        <v>5.9719234701622069E-2</v>
      </c>
      <c r="N11" s="4">
        <v>-7.4906717291576257E-3</v>
      </c>
      <c r="P11" s="4"/>
    </row>
    <row r="12" spans="1:23">
      <c r="A12" s="8">
        <v>39798</v>
      </c>
      <c r="B12" s="4">
        <v>7</v>
      </c>
      <c r="C12" s="4">
        <v>4.24</v>
      </c>
      <c r="D12" s="4">
        <v>1.06</v>
      </c>
      <c r="E12" s="4">
        <v>2.98</v>
      </c>
      <c r="F12" s="4">
        <v>2.86</v>
      </c>
      <c r="G12" s="4">
        <v>6.75</v>
      </c>
      <c r="I12" s="4">
        <v>1.4388737452099452E-2</v>
      </c>
      <c r="J12" s="4">
        <v>4.728141195946116E-3</v>
      </c>
      <c r="K12" s="4">
        <v>0</v>
      </c>
      <c r="L12" s="4">
        <v>0</v>
      </c>
      <c r="M12" s="4">
        <v>3.5590945102702533E-2</v>
      </c>
      <c r="N12" s="4">
        <v>1.4925650216675574E-2</v>
      </c>
      <c r="P12" s="4"/>
    </row>
    <row r="13" spans="1:23">
      <c r="A13" s="8">
        <v>39799</v>
      </c>
      <c r="B13" s="4">
        <v>6.9</v>
      </c>
      <c r="C13" s="4">
        <v>4.58</v>
      </c>
      <c r="D13" s="4">
        <v>1.04</v>
      </c>
      <c r="E13" s="4">
        <v>2.98</v>
      </c>
      <c r="F13" s="4">
        <v>2.82</v>
      </c>
      <c r="G13" s="4">
        <v>6.8</v>
      </c>
      <c r="I13" s="4">
        <v>-1.4388737452099556E-2</v>
      </c>
      <c r="J13" s="4">
        <v>7.7135728882227236E-2</v>
      </c>
      <c r="K13" s="4">
        <v>-1.9048194970694474E-2</v>
      </c>
      <c r="L13" s="4">
        <v>0</v>
      </c>
      <c r="M13" s="4">
        <v>-1.4084739881738972E-2</v>
      </c>
      <c r="N13" s="4">
        <v>7.38010729762246E-3</v>
      </c>
      <c r="P13" s="4"/>
    </row>
    <row r="14" spans="1:23">
      <c r="A14" s="8">
        <v>39800</v>
      </c>
      <c r="B14" s="4">
        <v>7</v>
      </c>
      <c r="C14" s="4">
        <v>4.58</v>
      </c>
      <c r="D14" s="4">
        <v>1.02</v>
      </c>
      <c r="E14" s="4">
        <v>2.86</v>
      </c>
      <c r="F14" s="4">
        <v>2.92</v>
      </c>
      <c r="G14" s="4">
        <v>6.8</v>
      </c>
      <c r="I14" s="4">
        <v>1.4388737452099452E-2</v>
      </c>
      <c r="J14" s="4">
        <v>0</v>
      </c>
      <c r="K14" s="4">
        <v>-1.9418085857101627E-2</v>
      </c>
      <c r="L14" s="4">
        <v>-4.1101675685551918E-2</v>
      </c>
      <c r="M14" s="4">
        <v>3.48467313301681E-2</v>
      </c>
      <c r="N14" s="4">
        <v>0</v>
      </c>
      <c r="P14" s="4"/>
    </row>
    <row r="15" spans="1:23">
      <c r="A15" s="8">
        <v>39801</v>
      </c>
      <c r="B15" s="4">
        <v>7.35</v>
      </c>
      <c r="C15" s="4">
        <v>4.5199999999999996</v>
      </c>
      <c r="D15" s="4">
        <v>1</v>
      </c>
      <c r="E15" s="4">
        <v>2.88</v>
      </c>
      <c r="F15" s="4">
        <v>3.48</v>
      </c>
      <c r="G15" s="4">
        <v>6.7</v>
      </c>
      <c r="I15" s="4">
        <v>4.8790164169432049E-2</v>
      </c>
      <c r="J15" s="4">
        <v>-1.3187004281953914E-2</v>
      </c>
      <c r="K15" s="4">
        <v>-1.9802627296179754E-2</v>
      </c>
      <c r="L15" s="4">
        <v>6.9686693160934355E-3</v>
      </c>
      <c r="M15" s="4">
        <v>0.17544867750619267</v>
      </c>
      <c r="N15" s="4">
        <v>-1.4815085785140587E-2</v>
      </c>
      <c r="P15" s="4"/>
      <c r="R15" s="20" t="s">
        <v>32</v>
      </c>
      <c r="S15" s="20"/>
      <c r="T15" s="21">
        <v>1000000</v>
      </c>
      <c r="V15" s="35" t="s">
        <v>35</v>
      </c>
      <c r="W15" s="36">
        <v>1000</v>
      </c>
    </row>
    <row r="16" spans="1:23">
      <c r="A16" s="8">
        <v>39804</v>
      </c>
      <c r="B16" s="4">
        <v>7.2</v>
      </c>
      <c r="C16" s="4">
        <v>4.22</v>
      </c>
      <c r="D16" s="4">
        <v>1</v>
      </c>
      <c r="E16" s="4">
        <v>2.84</v>
      </c>
      <c r="F16" s="4">
        <v>3.22</v>
      </c>
      <c r="G16" s="4">
        <v>6.6</v>
      </c>
      <c r="I16" s="4">
        <v>-2.0619287202735592E-2</v>
      </c>
      <c r="J16" s="4">
        <v>-6.8676865796219372E-2</v>
      </c>
      <c r="K16" s="4">
        <v>0</v>
      </c>
      <c r="L16" s="4">
        <v>-1.3986241974739952E-2</v>
      </c>
      <c r="M16" s="4">
        <v>-7.7650934230065999E-2</v>
      </c>
      <c r="N16" s="4">
        <v>-1.5037877364540559E-2</v>
      </c>
      <c r="P16" s="4"/>
      <c r="V16" s="35" t="s">
        <v>36</v>
      </c>
      <c r="W16" s="37">
        <v>2.5000000000000001E-2</v>
      </c>
    </row>
    <row r="17" spans="1:23">
      <c r="A17" s="8">
        <v>39805</v>
      </c>
      <c r="B17" s="4">
        <v>7.25</v>
      </c>
      <c r="C17" s="4">
        <v>4.28</v>
      </c>
      <c r="D17" s="4">
        <v>0.93</v>
      </c>
      <c r="E17" s="4">
        <v>2.94</v>
      </c>
      <c r="F17" s="4">
        <v>3.36</v>
      </c>
      <c r="G17" s="4">
        <v>6.75</v>
      </c>
      <c r="I17" s="4">
        <v>6.920442844573757E-3</v>
      </c>
      <c r="J17" s="4">
        <v>1.4117881545785022E-2</v>
      </c>
      <c r="K17" s="4">
        <v>-7.2570692834835374E-2</v>
      </c>
      <c r="L17" s="4">
        <v>3.4605529177475523E-2</v>
      </c>
      <c r="M17" s="4">
        <v>4.2559614418795903E-2</v>
      </c>
      <c r="N17" s="4">
        <v>2.2472855852058576E-2</v>
      </c>
      <c r="P17" s="1" t="s">
        <v>18</v>
      </c>
      <c r="Q17" s="1" t="s">
        <v>19</v>
      </c>
      <c r="R17" s="1" t="s">
        <v>20</v>
      </c>
      <c r="S17" s="1" t="s">
        <v>21</v>
      </c>
      <c r="T17" s="19" t="s">
        <v>37</v>
      </c>
    </row>
    <row r="18" spans="1:23">
      <c r="A18" s="8">
        <v>39806</v>
      </c>
      <c r="B18" s="4">
        <v>7.25</v>
      </c>
      <c r="C18" s="4">
        <v>4.34</v>
      </c>
      <c r="D18" s="4">
        <v>0.89</v>
      </c>
      <c r="E18" s="4">
        <v>2.92</v>
      </c>
      <c r="F18" s="4">
        <v>3.22</v>
      </c>
      <c r="G18" s="4">
        <v>7</v>
      </c>
      <c r="I18" s="4">
        <v>0</v>
      </c>
      <c r="J18" s="4">
        <v>1.3921338518608014E-2</v>
      </c>
      <c r="K18" s="4">
        <v>-4.3963123421116176E-2</v>
      </c>
      <c r="L18" s="4">
        <v>-6.8259650703998706E-3</v>
      </c>
      <c r="M18" s="4">
        <v>-4.2559614418795771E-2</v>
      </c>
      <c r="N18" s="4">
        <v>3.6367644170874791E-2</v>
      </c>
      <c r="P18" s="16" t="s">
        <v>3</v>
      </c>
      <c r="Q18" s="4">
        <v>28.75</v>
      </c>
      <c r="R18" s="23">
        <f t="shared" ref="R18:R23" si="1">S18/Q18</f>
        <v>4650.5829562311583</v>
      </c>
      <c r="S18" s="22">
        <f t="shared" ref="S18:S23" si="2">T18*$T$15</f>
        <v>133704.25999164581</v>
      </c>
      <c r="T18" s="24">
        <v>0.13370425999164581</v>
      </c>
    </row>
    <row r="19" spans="1:23">
      <c r="A19" s="8">
        <v>39807</v>
      </c>
      <c r="B19" s="4">
        <v>7.2</v>
      </c>
      <c r="C19" s="4">
        <v>4.62</v>
      </c>
      <c r="D19" s="4">
        <v>0.89</v>
      </c>
      <c r="E19" s="4">
        <v>2.94</v>
      </c>
      <c r="F19" s="4">
        <v>3.36</v>
      </c>
      <c r="G19" s="4">
        <v>7.05</v>
      </c>
      <c r="I19" s="4">
        <v>-6.9204428445737952E-3</v>
      </c>
      <c r="J19" s="4">
        <v>6.2520356981334138E-2</v>
      </c>
      <c r="K19" s="4">
        <v>0</v>
      </c>
      <c r="L19" s="4">
        <v>6.8259650703998906E-3</v>
      </c>
      <c r="M19" s="4">
        <v>4.2559614418795903E-2</v>
      </c>
      <c r="N19" s="4">
        <v>7.1174677688639549E-3</v>
      </c>
      <c r="P19" s="1" t="s">
        <v>4</v>
      </c>
      <c r="Q19" s="4">
        <v>15.8</v>
      </c>
      <c r="R19" s="23">
        <f t="shared" si="1"/>
        <v>8378.8701250583308</v>
      </c>
      <c r="S19" s="22">
        <f t="shared" si="2"/>
        <v>132386.14797592163</v>
      </c>
      <c r="T19" s="24">
        <v>0.13238614797592163</v>
      </c>
    </row>
    <row r="20" spans="1:23">
      <c r="A20" s="8">
        <v>39808</v>
      </c>
      <c r="B20" s="4">
        <v>7.2</v>
      </c>
      <c r="C20" s="4">
        <v>4.5999999999999996</v>
      </c>
      <c r="D20" s="4">
        <v>0.91</v>
      </c>
      <c r="E20" s="4">
        <v>3.08</v>
      </c>
      <c r="F20" s="4">
        <v>3.36</v>
      </c>
      <c r="G20" s="4">
        <v>7.05</v>
      </c>
      <c r="I20" s="4">
        <v>0</v>
      </c>
      <c r="J20" s="4">
        <v>-4.3384015985982417E-3</v>
      </c>
      <c r="K20" s="4">
        <v>2.2223136784710256E-2</v>
      </c>
      <c r="L20" s="4">
        <v>4.6520015634892907E-2</v>
      </c>
      <c r="M20" s="4">
        <v>0</v>
      </c>
      <c r="N20" s="4">
        <v>0</v>
      </c>
      <c r="P20" s="1" t="s">
        <v>5</v>
      </c>
      <c r="Q20" s="4">
        <v>3.9</v>
      </c>
      <c r="R20" s="23">
        <f t="shared" si="1"/>
        <v>25582.571442310626</v>
      </c>
      <c r="S20" s="22">
        <f t="shared" si="2"/>
        <v>99772.028625011444</v>
      </c>
      <c r="T20" s="33">
        <v>9.9772028625011444E-2</v>
      </c>
    </row>
    <row r="21" spans="1:23">
      <c r="A21" s="8">
        <v>39811</v>
      </c>
      <c r="B21" s="4">
        <v>7.3</v>
      </c>
      <c r="C21" s="4">
        <v>4.5</v>
      </c>
      <c r="D21" s="4">
        <v>0.91</v>
      </c>
      <c r="E21" s="4">
        <v>3.12</v>
      </c>
      <c r="F21" s="4">
        <v>3.24</v>
      </c>
      <c r="G21" s="4">
        <v>7.05</v>
      </c>
      <c r="I21" s="4">
        <v>1.3793322132335769E-2</v>
      </c>
      <c r="J21" s="4">
        <v>-2.1978906718775115E-2</v>
      </c>
      <c r="K21" s="4">
        <v>0</v>
      </c>
      <c r="L21" s="4">
        <v>1.2903404835908001E-2</v>
      </c>
      <c r="M21" s="4">
        <v>-3.6367644170874715E-2</v>
      </c>
      <c r="N21" s="4">
        <v>0</v>
      </c>
      <c r="P21" s="1" t="s">
        <v>6</v>
      </c>
      <c r="Q21" s="4">
        <v>10.7</v>
      </c>
      <c r="R21" s="23">
        <f t="shared" si="1"/>
        <v>26972.52781591683</v>
      </c>
      <c r="S21" s="22">
        <f t="shared" si="2"/>
        <v>288606.04763031006</v>
      </c>
      <c r="T21" s="33">
        <v>0.28860604763031006</v>
      </c>
      <c r="V21" s="18" t="s">
        <v>33</v>
      </c>
    </row>
    <row r="22" spans="1:23">
      <c r="A22" s="8">
        <v>39812</v>
      </c>
      <c r="B22" s="4">
        <v>7.05</v>
      </c>
      <c r="C22" s="4">
        <v>4.38</v>
      </c>
      <c r="D22" s="4">
        <v>0.91</v>
      </c>
      <c r="E22" s="4">
        <v>3.18</v>
      </c>
      <c r="F22" s="4">
        <v>3.16</v>
      </c>
      <c r="G22" s="4">
        <v>7.05</v>
      </c>
      <c r="I22" s="4">
        <v>-3.484673133016819E-2</v>
      </c>
      <c r="J22" s="4">
        <v>-2.7028672387919374E-2</v>
      </c>
      <c r="K22" s="4">
        <v>0</v>
      </c>
      <c r="L22" s="4">
        <v>1.9048194970694411E-2</v>
      </c>
      <c r="M22" s="4">
        <v>-2.500130220541727E-2</v>
      </c>
      <c r="N22" s="4">
        <v>0</v>
      </c>
      <c r="P22" s="1" t="s">
        <v>7</v>
      </c>
      <c r="Q22" s="4">
        <v>8.65</v>
      </c>
      <c r="R22" s="23">
        <f t="shared" si="1"/>
        <v>12035.620522636898</v>
      </c>
      <c r="S22" s="22">
        <f t="shared" si="2"/>
        <v>104108.11752080917</v>
      </c>
      <c r="T22" s="34">
        <v>0.10410811752080917</v>
      </c>
      <c r="V22" s="18" t="s">
        <v>34</v>
      </c>
    </row>
    <row r="23" spans="1:23">
      <c r="A23" s="8">
        <v>39818</v>
      </c>
      <c r="B23" s="4">
        <v>7.45</v>
      </c>
      <c r="C23" s="4">
        <v>4.66</v>
      </c>
      <c r="D23" s="4">
        <v>0.89</v>
      </c>
      <c r="E23" s="4">
        <v>3.22</v>
      </c>
      <c r="F23" s="4">
        <v>3.36</v>
      </c>
      <c r="G23" s="4">
        <v>7.4</v>
      </c>
      <c r="I23" s="4">
        <v>5.5186415567290939E-2</v>
      </c>
      <c r="J23" s="4">
        <v>6.1966723749199842E-2</v>
      </c>
      <c r="K23" s="4">
        <v>-2.2223136784710235E-2</v>
      </c>
      <c r="L23" s="4">
        <v>1.2500162764231468E-2</v>
      </c>
      <c r="M23" s="4">
        <v>6.1368946376292019E-2</v>
      </c>
      <c r="N23" s="4">
        <v>4.8452383385946957E-2</v>
      </c>
      <c r="P23" s="1" t="s">
        <v>8</v>
      </c>
      <c r="Q23" s="4">
        <v>21.9</v>
      </c>
      <c r="R23" s="23">
        <f t="shared" si="1"/>
        <v>11023.898783339759</v>
      </c>
      <c r="S23" s="22">
        <f t="shared" si="2"/>
        <v>241423.38335514069</v>
      </c>
      <c r="T23" s="34">
        <v>0.24142338335514069</v>
      </c>
    </row>
    <row r="24" spans="1:23">
      <c r="A24" s="8">
        <v>39819</v>
      </c>
      <c r="B24" s="4">
        <v>7.5</v>
      </c>
      <c r="C24" s="4">
        <v>4.5999999999999996</v>
      </c>
      <c r="D24" s="4">
        <v>0.89</v>
      </c>
      <c r="E24" s="4">
        <v>3.36</v>
      </c>
      <c r="F24" s="4">
        <v>3.26</v>
      </c>
      <c r="G24" s="4">
        <v>7.45</v>
      </c>
      <c r="I24" s="4">
        <v>6.6889881507964889E-3</v>
      </c>
      <c r="J24" s="4">
        <v>-1.2959144642505341E-2</v>
      </c>
      <c r="K24" s="4">
        <v>0</v>
      </c>
      <c r="L24" s="4">
        <v>4.2559614418795903E-2</v>
      </c>
      <c r="M24" s="4">
        <v>-3.0213778596496595E-2</v>
      </c>
      <c r="N24" s="4">
        <v>6.7340321813441194E-3</v>
      </c>
      <c r="P24" s="4"/>
      <c r="S24" s="21">
        <f>SUM(S18:S23)</f>
        <v>999999.98509883881</v>
      </c>
      <c r="T24" s="24">
        <f>SUM(T18:T23)</f>
        <v>0.99999998509883881</v>
      </c>
      <c r="V24" s="32" t="s">
        <v>40</v>
      </c>
      <c r="W24" s="15">
        <v>1.0468566417694092</v>
      </c>
    </row>
    <row r="25" spans="1:23">
      <c r="A25" s="8">
        <v>39820</v>
      </c>
      <c r="B25" s="4">
        <v>7.25</v>
      </c>
      <c r="C25" s="4">
        <v>4.5199999999999996</v>
      </c>
      <c r="D25" s="4">
        <v>0.87</v>
      </c>
      <c r="E25" s="4">
        <v>3.36</v>
      </c>
      <c r="F25" s="4">
        <v>3.2</v>
      </c>
      <c r="G25" s="4">
        <v>7.1</v>
      </c>
      <c r="I25" s="4">
        <v>-3.3901551675681339E-2</v>
      </c>
      <c r="J25" s="4">
        <v>-1.7544309650909508E-2</v>
      </c>
      <c r="K25" s="4">
        <v>-2.2728251077556175E-2</v>
      </c>
      <c r="L25" s="4">
        <v>0</v>
      </c>
      <c r="M25" s="4">
        <v>-1.8576385572935304E-2</v>
      </c>
      <c r="N25" s="4">
        <v>-4.8119248344198458E-2</v>
      </c>
      <c r="P25" s="4"/>
      <c r="V25" s="32" t="s">
        <v>38</v>
      </c>
      <c r="W25" s="15">
        <v>8.2852691411972046E-2</v>
      </c>
    </row>
    <row r="26" spans="1:23">
      <c r="A26" s="8">
        <v>39821</v>
      </c>
      <c r="B26" s="4">
        <v>7.15</v>
      </c>
      <c r="C26" s="4">
        <v>4.58</v>
      </c>
      <c r="D26" s="4">
        <v>0.93</v>
      </c>
      <c r="E26" s="4">
        <v>3.36</v>
      </c>
      <c r="F26" s="4">
        <v>3.28</v>
      </c>
      <c r="G26" s="4">
        <v>6.9</v>
      </c>
      <c r="I26" s="4">
        <v>-1.3889112160667037E-2</v>
      </c>
      <c r="J26" s="4">
        <v>1.31870042819539E-2</v>
      </c>
      <c r="K26" s="4">
        <v>6.6691374498672351E-2</v>
      </c>
      <c r="L26" s="4">
        <v>0</v>
      </c>
      <c r="M26" s="4">
        <v>2.4692612590371414E-2</v>
      </c>
      <c r="N26" s="4">
        <v>-2.8573372444055885E-2</v>
      </c>
      <c r="P26" s="25" t="s">
        <v>22</v>
      </c>
      <c r="Q26" s="17" t="s">
        <v>23</v>
      </c>
      <c r="V26" s="32" t="s">
        <v>39</v>
      </c>
      <c r="W26" s="15">
        <v>5.5263243615627289E-2</v>
      </c>
    </row>
    <row r="27" spans="1:23">
      <c r="A27" s="8">
        <v>39822</v>
      </c>
      <c r="B27" s="4">
        <v>7.15</v>
      </c>
      <c r="C27" s="4">
        <v>4.58</v>
      </c>
      <c r="D27" s="4">
        <v>0.89</v>
      </c>
      <c r="E27" s="4">
        <v>3.3</v>
      </c>
      <c r="F27" s="4">
        <v>3.18</v>
      </c>
      <c r="G27" s="4">
        <v>7.05</v>
      </c>
      <c r="I27" s="4">
        <v>0</v>
      </c>
      <c r="J27" s="4">
        <v>0</v>
      </c>
      <c r="K27" s="4">
        <v>-4.3963123421116176E-2</v>
      </c>
      <c r="L27" s="4">
        <v>-1.8018505502678365E-2</v>
      </c>
      <c r="M27" s="4">
        <v>-3.096222560396681E-2</v>
      </c>
      <c r="N27" s="4">
        <v>2.1506205220963463E-2</v>
      </c>
      <c r="P27" s="27">
        <v>1</v>
      </c>
      <c r="Q27" s="4">
        <v>72811.265625</v>
      </c>
      <c r="S27" s="14" t="s">
        <v>41</v>
      </c>
      <c r="T27" s="38">
        <v>-45666.323749999996</v>
      </c>
    </row>
    <row r="28" spans="1:23">
      <c r="A28" s="8">
        <v>39825</v>
      </c>
      <c r="B28" s="4">
        <v>7.15</v>
      </c>
      <c r="C28" s="4">
        <v>4.58</v>
      </c>
      <c r="D28" s="4">
        <v>0.9</v>
      </c>
      <c r="E28" s="4">
        <v>3.4</v>
      </c>
      <c r="F28" s="4">
        <v>3.28</v>
      </c>
      <c r="G28" s="4">
        <v>7.1</v>
      </c>
      <c r="I28" s="4">
        <v>0</v>
      </c>
      <c r="J28" s="4">
        <v>0</v>
      </c>
      <c r="K28" s="4">
        <v>1.1173300598125255E-2</v>
      </c>
      <c r="L28" s="4">
        <v>2.9852963149681128E-2</v>
      </c>
      <c r="M28" s="4">
        <v>3.096222560396689E-2</v>
      </c>
      <c r="N28" s="4">
        <v>7.0671672230923528E-3</v>
      </c>
      <c r="P28" s="27">
        <v>2</v>
      </c>
      <c r="Q28" s="4">
        <v>160381.640625</v>
      </c>
      <c r="S28" s="14" t="s">
        <v>42</v>
      </c>
      <c r="T28" s="21">
        <v>91641.923909505203</v>
      </c>
    </row>
    <row r="29" spans="1:23">
      <c r="A29" s="8">
        <v>39826</v>
      </c>
      <c r="B29" s="4">
        <v>7.05</v>
      </c>
      <c r="C29" s="4">
        <v>4.5599999999999996</v>
      </c>
      <c r="D29" s="4">
        <v>0.87</v>
      </c>
      <c r="E29" s="4">
        <v>3.3</v>
      </c>
      <c r="F29" s="4">
        <v>3.22</v>
      </c>
      <c r="G29" s="4">
        <v>7.05</v>
      </c>
      <c r="I29" s="4">
        <v>-1.4084739881739085E-2</v>
      </c>
      <c r="J29" s="4">
        <v>-4.3763745997990001E-3</v>
      </c>
      <c r="K29" s="4">
        <v>-3.3901551675681339E-2</v>
      </c>
      <c r="L29" s="4">
        <v>-2.985296314968116E-2</v>
      </c>
      <c r="M29" s="4">
        <v>-1.8462062839735331E-2</v>
      </c>
      <c r="N29" s="4">
        <v>-7.067167223092443E-3</v>
      </c>
      <c r="P29" s="27">
        <v>3</v>
      </c>
      <c r="Q29" s="4">
        <v>53293.390625</v>
      </c>
      <c r="S29" s="14" t="s">
        <v>43</v>
      </c>
      <c r="T29" s="21">
        <v>13401.961894435299</v>
      </c>
    </row>
    <row r="30" spans="1:23">
      <c r="A30" s="8">
        <v>39827</v>
      </c>
      <c r="B30" s="4">
        <v>7</v>
      </c>
      <c r="C30" s="4">
        <v>4.4400000000000004</v>
      </c>
      <c r="D30" s="4">
        <v>0.88</v>
      </c>
      <c r="E30" s="4">
        <v>3.3</v>
      </c>
      <c r="F30" s="4">
        <v>3.12</v>
      </c>
      <c r="G30" s="4">
        <v>7</v>
      </c>
      <c r="I30" s="4">
        <v>-7.1174677688639896E-3</v>
      </c>
      <c r="J30" s="4">
        <v>-2.666824708216118E-2</v>
      </c>
      <c r="K30" s="4">
        <v>1.142869582362285E-2</v>
      </c>
      <c r="L30" s="4">
        <v>0</v>
      </c>
      <c r="M30" s="4">
        <v>-3.1548357734926008E-2</v>
      </c>
      <c r="N30" s="4">
        <v>-7.1174677688639896E-3</v>
      </c>
      <c r="P30" s="27">
        <v>4</v>
      </c>
      <c r="Q30" s="4">
        <v>-52811.796875</v>
      </c>
    </row>
    <row r="31" spans="1:23">
      <c r="A31" s="8">
        <v>39828</v>
      </c>
      <c r="B31" s="4">
        <v>6.95</v>
      </c>
      <c r="C31" s="4">
        <v>4.26</v>
      </c>
      <c r="D31" s="4">
        <v>0.87</v>
      </c>
      <c r="E31" s="4">
        <v>3.24</v>
      </c>
      <c r="F31" s="4">
        <v>3</v>
      </c>
      <c r="G31" s="4">
        <v>7</v>
      </c>
      <c r="I31" s="4">
        <v>-7.168489478612516E-3</v>
      </c>
      <c r="J31" s="4">
        <v>-4.1385216162854482E-2</v>
      </c>
      <c r="K31" s="4">
        <v>-1.1428695823622744E-2</v>
      </c>
      <c r="L31" s="4">
        <v>-1.834913866819643E-2</v>
      </c>
      <c r="M31" s="4">
        <v>-3.9220713153281385E-2</v>
      </c>
      <c r="N31" s="4">
        <v>0</v>
      </c>
      <c r="P31" s="27">
        <v>5</v>
      </c>
      <c r="Q31" s="4">
        <v>88089.140625</v>
      </c>
    </row>
    <row r="32" spans="1:23">
      <c r="A32" s="8">
        <v>39829</v>
      </c>
      <c r="B32" s="4">
        <v>6.95</v>
      </c>
      <c r="C32" s="4">
        <v>4.4400000000000004</v>
      </c>
      <c r="D32" s="4">
        <v>0.87</v>
      </c>
      <c r="E32" s="4">
        <v>3.22</v>
      </c>
      <c r="F32" s="4">
        <v>3.06</v>
      </c>
      <c r="G32" s="4">
        <v>7.05</v>
      </c>
      <c r="I32" s="4">
        <v>0</v>
      </c>
      <c r="J32" s="4">
        <v>4.1385216162854489E-2</v>
      </c>
      <c r="K32" s="4">
        <v>0</v>
      </c>
      <c r="L32" s="4">
        <v>-6.191970247921107E-3</v>
      </c>
      <c r="M32" s="4">
        <v>1.980262729617973E-2</v>
      </c>
      <c r="N32" s="4">
        <v>7.1174677688639549E-3</v>
      </c>
      <c r="P32" s="27">
        <v>6</v>
      </c>
      <c r="Q32" s="4">
        <v>135963.890625</v>
      </c>
    </row>
    <row r="33" spans="1:17">
      <c r="A33" s="8">
        <v>39832</v>
      </c>
      <c r="B33" s="4">
        <v>6.9</v>
      </c>
      <c r="C33" s="4">
        <v>4.5</v>
      </c>
      <c r="D33" s="4">
        <v>0.87</v>
      </c>
      <c r="E33" s="4">
        <v>3.3</v>
      </c>
      <c r="F33" s="4">
        <v>3.1</v>
      </c>
      <c r="G33" s="4">
        <v>7.05</v>
      </c>
      <c r="I33" s="4">
        <v>-7.2202479734870201E-3</v>
      </c>
      <c r="J33" s="4">
        <v>1.342302033214055E-2</v>
      </c>
      <c r="K33" s="4">
        <v>0</v>
      </c>
      <c r="L33" s="4">
        <v>2.4541108916117445E-2</v>
      </c>
      <c r="M33" s="4">
        <v>1.2987195526811112E-2</v>
      </c>
      <c r="N33" s="4">
        <v>0</v>
      </c>
      <c r="P33" s="27">
        <v>7</v>
      </c>
      <c r="Q33" s="4">
        <v>36499.203125</v>
      </c>
    </row>
    <row r="34" spans="1:17">
      <c r="A34" s="8">
        <v>39833</v>
      </c>
      <c r="B34" s="4">
        <v>6.9</v>
      </c>
      <c r="C34" s="4">
        <v>4.38</v>
      </c>
      <c r="D34" s="4">
        <v>0.97</v>
      </c>
      <c r="E34" s="4">
        <v>3.26</v>
      </c>
      <c r="F34" s="4">
        <v>3.34</v>
      </c>
      <c r="G34" s="4">
        <v>7.1</v>
      </c>
      <c r="I34" s="4">
        <v>0</v>
      </c>
      <c r="J34" s="4">
        <v>-2.7028672387919374E-2</v>
      </c>
      <c r="K34" s="4">
        <v>0.10880285984879917</v>
      </c>
      <c r="L34" s="4">
        <v>-1.2195273093818243E-2</v>
      </c>
      <c r="M34" s="4">
        <v>7.4568695497508469E-2</v>
      </c>
      <c r="N34" s="4">
        <v>7.0671672230923528E-3</v>
      </c>
      <c r="P34" s="27">
        <v>8</v>
      </c>
      <c r="Q34" s="4">
        <v>61254.515625</v>
      </c>
    </row>
    <row r="35" spans="1:17">
      <c r="A35" s="8">
        <v>39834</v>
      </c>
      <c r="B35" s="4">
        <v>6.8</v>
      </c>
      <c r="C35" s="4">
        <v>4.3600000000000003</v>
      </c>
      <c r="D35" s="4">
        <v>0.93</v>
      </c>
      <c r="E35" s="4">
        <v>3.28</v>
      </c>
      <c r="F35" s="4">
        <v>3.44</v>
      </c>
      <c r="G35" s="4">
        <v>7.15</v>
      </c>
      <c r="I35" s="4">
        <v>-1.4598799421152749E-2</v>
      </c>
      <c r="J35" s="4">
        <v>-4.5766670274117547E-3</v>
      </c>
      <c r="K35" s="4">
        <v>-4.2111485350126848E-2</v>
      </c>
      <c r="L35" s="4">
        <v>6.1162270174360536E-3</v>
      </c>
      <c r="M35" s="4">
        <v>2.9500664396698056E-2</v>
      </c>
      <c r="N35" s="4">
        <v>7.0175726586465398E-3</v>
      </c>
      <c r="P35" s="27">
        <v>9</v>
      </c>
      <c r="Q35" s="4">
        <v>109096.140625</v>
      </c>
    </row>
    <row r="36" spans="1:17">
      <c r="A36" s="8">
        <v>39835</v>
      </c>
      <c r="B36" s="4">
        <v>6.65</v>
      </c>
      <c r="C36" s="4">
        <v>4.38</v>
      </c>
      <c r="D36" s="4">
        <v>0.9</v>
      </c>
      <c r="E36" s="4">
        <v>3.28</v>
      </c>
      <c r="F36" s="4">
        <v>3.26</v>
      </c>
      <c r="G36" s="4">
        <v>7.1</v>
      </c>
      <c r="I36" s="4">
        <v>-2.2305757514298162E-2</v>
      </c>
      <c r="J36" s="4">
        <v>4.5766670274116732E-3</v>
      </c>
      <c r="K36" s="4">
        <v>-3.2789822822990956E-2</v>
      </c>
      <c r="L36" s="4">
        <v>0</v>
      </c>
      <c r="M36" s="4">
        <v>-5.3744276006690808E-2</v>
      </c>
      <c r="N36" s="4">
        <v>-7.0175726586466465E-3</v>
      </c>
      <c r="P36" s="27">
        <v>10</v>
      </c>
      <c r="Q36" s="4">
        <v>90790.140625</v>
      </c>
    </row>
    <row r="37" spans="1:17">
      <c r="A37" s="8">
        <v>39836</v>
      </c>
      <c r="B37" s="4">
        <v>6.6</v>
      </c>
      <c r="C37" s="4">
        <v>4.34</v>
      </c>
      <c r="D37" s="4">
        <v>0.88</v>
      </c>
      <c r="E37" s="4">
        <v>3.24</v>
      </c>
      <c r="F37" s="4">
        <v>3.18</v>
      </c>
      <c r="G37" s="4">
        <v>7.05</v>
      </c>
      <c r="I37" s="4">
        <v>-7.5472056353829663E-3</v>
      </c>
      <c r="J37" s="4">
        <v>-9.1743762760412694E-3</v>
      </c>
      <c r="K37" s="4">
        <v>-2.2472855852058628E-2</v>
      </c>
      <c r="L37" s="4">
        <v>-1.2270092591814247E-2</v>
      </c>
      <c r="M37" s="4">
        <v>-2.4845998586530662E-2</v>
      </c>
      <c r="N37" s="4">
        <v>-7.067167223092443E-3</v>
      </c>
      <c r="P37" s="28">
        <v>11</v>
      </c>
      <c r="Q37" s="4">
        <v>50485.640625</v>
      </c>
    </row>
    <row r="38" spans="1:17">
      <c r="A38" s="8">
        <v>39839</v>
      </c>
      <c r="B38" s="4">
        <v>6.7</v>
      </c>
      <c r="C38" s="4">
        <v>4.3600000000000003</v>
      </c>
      <c r="D38" s="4">
        <v>0.9</v>
      </c>
      <c r="E38" s="4">
        <v>3.24</v>
      </c>
      <c r="F38" s="4">
        <v>3.22</v>
      </c>
      <c r="G38" s="4">
        <v>7.1</v>
      </c>
      <c r="I38" s="4">
        <v>1.5037877364540502E-2</v>
      </c>
      <c r="J38" s="4">
        <v>4.5977092486295494E-3</v>
      </c>
      <c r="K38" s="4">
        <v>2.2472855852058576E-2</v>
      </c>
      <c r="L38" s="4">
        <v>0</v>
      </c>
      <c r="M38" s="4">
        <v>1.2500162764231468E-2</v>
      </c>
      <c r="N38" s="4">
        <v>7.0671672230923528E-3</v>
      </c>
      <c r="P38" s="28">
        <v>12</v>
      </c>
      <c r="Q38" s="4">
        <v>46850.015625</v>
      </c>
    </row>
    <row r="39" spans="1:17">
      <c r="A39" s="8">
        <v>39840</v>
      </c>
      <c r="B39" s="4">
        <v>6.85</v>
      </c>
      <c r="C39" s="4">
        <v>4.42</v>
      </c>
      <c r="D39" s="4">
        <v>0.92</v>
      </c>
      <c r="E39" s="4">
        <v>3.3</v>
      </c>
      <c r="F39" s="4">
        <v>3.26</v>
      </c>
      <c r="G39" s="4">
        <v>7.25</v>
      </c>
      <c r="I39" s="4">
        <v>2.2141125877213501E-2</v>
      </c>
      <c r="J39" s="4">
        <v>1.3667638728663615E-2</v>
      </c>
      <c r="K39" s="4">
        <v>2.1978906718775167E-2</v>
      </c>
      <c r="L39" s="4">
        <v>1.8349138668196398E-2</v>
      </c>
      <c r="M39" s="4">
        <v>1.2345835822299141E-2</v>
      </c>
      <c r="N39" s="4">
        <v>2.0906684819313643E-2</v>
      </c>
      <c r="P39" s="28">
        <v>13</v>
      </c>
      <c r="Q39" s="4">
        <v>48384.140625</v>
      </c>
    </row>
    <row r="40" spans="1:17">
      <c r="A40" s="8">
        <v>39841</v>
      </c>
      <c r="B40" s="4">
        <v>7</v>
      </c>
      <c r="C40" s="4">
        <v>4.5</v>
      </c>
      <c r="D40" s="4">
        <v>0.93</v>
      </c>
      <c r="E40" s="4">
        <v>3.34</v>
      </c>
      <c r="F40" s="4">
        <v>3.22</v>
      </c>
      <c r="G40" s="4">
        <v>7.2</v>
      </c>
      <c r="I40" s="4">
        <v>2.1661496781179467E-2</v>
      </c>
      <c r="J40" s="4">
        <v>1.7937700686667252E-2</v>
      </c>
      <c r="K40" s="4">
        <v>1.0810916104215676E-2</v>
      </c>
      <c r="L40" s="4">
        <v>1.2048338516174574E-2</v>
      </c>
      <c r="M40" s="4">
        <v>-1.2345835822299266E-2</v>
      </c>
      <c r="N40" s="4">
        <v>-6.9204428445737952E-3</v>
      </c>
      <c r="P40" s="28">
        <v>14</v>
      </c>
      <c r="Q40" s="4">
        <v>85599.015625</v>
      </c>
    </row>
    <row r="41" spans="1:17">
      <c r="A41" s="8">
        <v>39842</v>
      </c>
      <c r="B41" s="4">
        <v>6.8</v>
      </c>
      <c r="C41" s="4">
        <v>4.26</v>
      </c>
      <c r="D41" s="4">
        <v>0.93</v>
      </c>
      <c r="E41" s="4">
        <v>3.32</v>
      </c>
      <c r="F41" s="4">
        <v>3.06</v>
      </c>
      <c r="G41" s="4">
        <v>7.25</v>
      </c>
      <c r="I41" s="4">
        <v>-2.8987536873252298E-2</v>
      </c>
      <c r="J41" s="4">
        <v>-5.4808236494995027E-2</v>
      </c>
      <c r="K41" s="4">
        <v>0</v>
      </c>
      <c r="L41" s="4">
        <v>-6.0060240602119218E-3</v>
      </c>
      <c r="M41" s="4">
        <v>-5.0966443592027628E-2</v>
      </c>
      <c r="N41" s="4">
        <v>6.920442844573757E-3</v>
      </c>
      <c r="P41" s="28">
        <v>15</v>
      </c>
      <c r="Q41" s="4">
        <v>58839.265625</v>
      </c>
    </row>
    <row r="42" spans="1:17">
      <c r="A42" s="8">
        <v>39843</v>
      </c>
      <c r="B42" s="4">
        <v>6.95</v>
      </c>
      <c r="C42" s="4">
        <v>4.28</v>
      </c>
      <c r="D42" s="4">
        <v>0.91</v>
      </c>
      <c r="E42" s="4">
        <v>3.3</v>
      </c>
      <c r="F42" s="4">
        <v>3.1</v>
      </c>
      <c r="G42" s="4">
        <v>7.45</v>
      </c>
      <c r="I42" s="4">
        <v>2.1819047394639888E-2</v>
      </c>
      <c r="J42" s="4">
        <v>4.6838493124264375E-3</v>
      </c>
      <c r="K42" s="4">
        <v>-2.1739986636405875E-2</v>
      </c>
      <c r="L42" s="4">
        <v>-6.0423144559625863E-3</v>
      </c>
      <c r="M42" s="4">
        <v>1.2987195526811112E-2</v>
      </c>
      <c r="N42" s="4">
        <v>2.7212563524884794E-2</v>
      </c>
      <c r="P42" s="28">
        <v>16</v>
      </c>
      <c r="Q42" s="4">
        <v>167465.890625</v>
      </c>
    </row>
    <row r="43" spans="1:17">
      <c r="A43" s="8">
        <v>39846</v>
      </c>
      <c r="B43" s="4">
        <v>6.7</v>
      </c>
      <c r="C43" s="4">
        <v>4</v>
      </c>
      <c r="D43" s="4">
        <v>0.89</v>
      </c>
      <c r="E43" s="4">
        <v>3.32</v>
      </c>
      <c r="F43" s="4">
        <v>3.02</v>
      </c>
      <c r="G43" s="4">
        <v>7.35</v>
      </c>
      <c r="I43" s="4">
        <v>-3.6634133179780384E-2</v>
      </c>
      <c r="J43" s="4">
        <v>-6.7658648473814809E-2</v>
      </c>
      <c r="K43" s="4">
        <v>-2.2223136784710235E-2</v>
      </c>
      <c r="L43" s="4">
        <v>6.0423144559626617E-3</v>
      </c>
      <c r="M43" s="4">
        <v>-2.614528010432236E-2</v>
      </c>
      <c r="N43" s="4">
        <v>-1.3513719166722933E-2</v>
      </c>
      <c r="P43" s="28">
        <v>17</v>
      </c>
      <c r="Q43" s="4">
        <v>71881.265625</v>
      </c>
    </row>
    <row r="44" spans="1:17">
      <c r="A44" s="8">
        <v>39847</v>
      </c>
      <c r="B44" s="4">
        <v>6.9</v>
      </c>
      <c r="C44" s="4">
        <v>3.86</v>
      </c>
      <c r="D44" s="4">
        <v>0.89</v>
      </c>
      <c r="E44" s="4">
        <v>3.34</v>
      </c>
      <c r="F44" s="4">
        <v>3.06</v>
      </c>
      <c r="G44" s="4">
        <v>7.45</v>
      </c>
      <c r="I44" s="4">
        <v>2.9413885206293407E-2</v>
      </c>
      <c r="J44" s="4">
        <v>-3.562717764315116E-2</v>
      </c>
      <c r="K44" s="4">
        <v>0</v>
      </c>
      <c r="L44" s="4">
        <v>6.0060240602119487E-3</v>
      </c>
      <c r="M44" s="4">
        <v>1.3158084577511201E-2</v>
      </c>
      <c r="N44" s="4">
        <v>1.3513719166722855E-2</v>
      </c>
      <c r="P44" s="28">
        <v>18</v>
      </c>
      <c r="Q44" s="4">
        <v>8034.89013671875</v>
      </c>
    </row>
    <row r="45" spans="1:17">
      <c r="A45" s="8">
        <v>39848</v>
      </c>
      <c r="B45" s="4">
        <v>6.85</v>
      </c>
      <c r="C45" s="4">
        <v>3.96</v>
      </c>
      <c r="D45" s="4">
        <v>0.91</v>
      </c>
      <c r="E45" s="4">
        <v>3.34</v>
      </c>
      <c r="F45" s="4">
        <v>3.08</v>
      </c>
      <c r="G45" s="4">
        <v>7.7</v>
      </c>
      <c r="I45" s="4">
        <v>-7.2727593290799206E-3</v>
      </c>
      <c r="J45" s="4">
        <v>2.5576841789649776E-2</v>
      </c>
      <c r="K45" s="4">
        <v>2.2223136784710256E-2</v>
      </c>
      <c r="L45" s="4">
        <v>0</v>
      </c>
      <c r="M45" s="4">
        <v>6.5146810211936723E-3</v>
      </c>
      <c r="N45" s="4">
        <v>3.3006296468170077E-2</v>
      </c>
      <c r="P45" s="28">
        <v>19</v>
      </c>
      <c r="Q45" s="4">
        <v>262008.390625</v>
      </c>
    </row>
    <row r="46" spans="1:17">
      <c r="A46" s="8">
        <v>39849</v>
      </c>
      <c r="B46" s="4">
        <v>6.9</v>
      </c>
      <c r="C46" s="4">
        <v>4</v>
      </c>
      <c r="D46" s="4">
        <v>0.91</v>
      </c>
      <c r="E46" s="4">
        <v>3.34</v>
      </c>
      <c r="F46" s="4">
        <v>3.12</v>
      </c>
      <c r="G46" s="4">
        <v>7.75</v>
      </c>
      <c r="I46" s="4">
        <v>7.2727593290798781E-3</v>
      </c>
      <c r="J46" s="4">
        <v>1.0050335853501506E-2</v>
      </c>
      <c r="K46" s="4">
        <v>0</v>
      </c>
      <c r="L46" s="4">
        <v>0</v>
      </c>
      <c r="M46" s="4">
        <v>1.2903404835908001E-2</v>
      </c>
      <c r="N46" s="4">
        <v>6.4725145056175196E-3</v>
      </c>
      <c r="P46" s="28">
        <v>20</v>
      </c>
      <c r="Q46" s="4">
        <v>44788.140625</v>
      </c>
    </row>
    <row r="47" spans="1:17">
      <c r="A47" s="8">
        <v>39850</v>
      </c>
      <c r="B47" s="4">
        <v>7</v>
      </c>
      <c r="C47" s="4">
        <v>4.0999999999999996</v>
      </c>
      <c r="D47" s="4">
        <v>0.9</v>
      </c>
      <c r="E47" s="4">
        <v>3.38</v>
      </c>
      <c r="F47" s="4">
        <v>3.18</v>
      </c>
      <c r="G47" s="4">
        <v>7.8</v>
      </c>
      <c r="I47" s="4">
        <v>1.4388737452099452E-2</v>
      </c>
      <c r="J47" s="4">
        <v>2.4692612590371414E-2</v>
      </c>
      <c r="K47" s="4">
        <v>-1.1049836186584935E-2</v>
      </c>
      <c r="L47" s="4">
        <v>1.1904902506318458E-2</v>
      </c>
      <c r="M47" s="4">
        <v>1.9048194970694411E-2</v>
      </c>
      <c r="N47" s="4">
        <v>6.4308903302903314E-3</v>
      </c>
      <c r="P47" s="28">
        <v>21</v>
      </c>
      <c r="Q47" s="4">
        <v>82766.015625</v>
      </c>
    </row>
    <row r="48" spans="1:17">
      <c r="A48" s="8">
        <v>39854</v>
      </c>
      <c r="B48" s="4">
        <v>7.05</v>
      </c>
      <c r="C48" s="4">
        <v>4.04</v>
      </c>
      <c r="D48" s="4">
        <v>0.88</v>
      </c>
      <c r="E48" s="4">
        <v>3.4</v>
      </c>
      <c r="F48" s="4">
        <v>3.1</v>
      </c>
      <c r="G48" s="4">
        <v>7.85</v>
      </c>
      <c r="I48" s="4">
        <v>7.1174677688639549E-3</v>
      </c>
      <c r="J48" s="4">
        <v>-1.4742281737203319E-2</v>
      </c>
      <c r="K48" s="4">
        <v>-2.2472855852058628E-2</v>
      </c>
      <c r="L48" s="4">
        <v>5.899722127188322E-3</v>
      </c>
      <c r="M48" s="4">
        <v>-2.5479085300984899E-2</v>
      </c>
      <c r="N48" s="4">
        <v>6.3897980987709883E-3</v>
      </c>
      <c r="P48" s="28">
        <v>22</v>
      </c>
      <c r="Q48" s="4">
        <v>258910.515625</v>
      </c>
    </row>
    <row r="49" spans="1:17">
      <c r="A49" s="8">
        <v>39855</v>
      </c>
      <c r="B49" s="4">
        <v>7</v>
      </c>
      <c r="C49" s="4">
        <v>4.0199999999999996</v>
      </c>
      <c r="D49" s="4">
        <v>0.84</v>
      </c>
      <c r="E49" s="4">
        <v>3.38</v>
      </c>
      <c r="F49" s="4">
        <v>3.1</v>
      </c>
      <c r="G49" s="4">
        <v>7.7</v>
      </c>
      <c r="I49" s="4">
        <v>-7.1174677688639896E-3</v>
      </c>
      <c r="J49" s="4">
        <v>-4.9627893421291249E-3</v>
      </c>
      <c r="K49" s="4">
        <v>-4.6520015634892928E-2</v>
      </c>
      <c r="L49" s="4">
        <v>-5.8997221271882708E-3</v>
      </c>
      <c r="M49" s="4">
        <v>0</v>
      </c>
      <c r="N49" s="4">
        <v>-1.9293202934678781E-2</v>
      </c>
      <c r="P49" s="28">
        <v>23</v>
      </c>
      <c r="Q49" s="4">
        <v>108219.765625</v>
      </c>
    </row>
    <row r="50" spans="1:17">
      <c r="A50" s="8">
        <v>39856</v>
      </c>
      <c r="B50" s="4">
        <v>7.1</v>
      </c>
      <c r="C50" s="4">
        <v>3.98</v>
      </c>
      <c r="D50" s="4">
        <v>0.86</v>
      </c>
      <c r="E50" s="4">
        <v>3.38</v>
      </c>
      <c r="F50" s="4">
        <v>3.14</v>
      </c>
      <c r="G50" s="4">
        <v>7.6</v>
      </c>
      <c r="I50" s="4">
        <v>1.4184634991956381E-2</v>
      </c>
      <c r="J50" s="4">
        <v>-1.0000083334583311E-2</v>
      </c>
      <c r="K50" s="4">
        <v>2.3530497410194036E-2</v>
      </c>
      <c r="L50" s="4">
        <v>0</v>
      </c>
      <c r="M50" s="4">
        <v>1.2820688429061469E-2</v>
      </c>
      <c r="N50" s="4">
        <v>-1.3072081567352888E-2</v>
      </c>
      <c r="P50" s="28">
        <v>24</v>
      </c>
      <c r="Q50" s="4">
        <v>96424.890625</v>
      </c>
    </row>
    <row r="51" spans="1:17">
      <c r="A51" s="8">
        <v>39857</v>
      </c>
      <c r="B51" s="4">
        <v>7.15</v>
      </c>
      <c r="C51" s="4">
        <v>4</v>
      </c>
      <c r="D51" s="4">
        <v>0.83</v>
      </c>
      <c r="E51" s="4">
        <v>3.4</v>
      </c>
      <c r="F51" s="4">
        <v>3.12</v>
      </c>
      <c r="G51" s="4">
        <v>7.8</v>
      </c>
      <c r="I51" s="4">
        <v>7.0175726586465398E-3</v>
      </c>
      <c r="J51" s="4">
        <v>5.0125418235441935E-3</v>
      </c>
      <c r="K51" s="4">
        <v>-3.5506688456909873E-2</v>
      </c>
      <c r="L51" s="4">
        <v>5.899722127188322E-3</v>
      </c>
      <c r="M51" s="4">
        <v>-6.38979809877101E-3</v>
      </c>
      <c r="N51" s="4">
        <v>2.5975486403260736E-2</v>
      </c>
      <c r="P51" s="28">
        <v>25</v>
      </c>
      <c r="Q51" s="4">
        <v>177394.765625</v>
      </c>
    </row>
    <row r="52" spans="1:17">
      <c r="A52" s="8">
        <v>39860</v>
      </c>
      <c r="B52" s="4">
        <v>7.25</v>
      </c>
      <c r="C52" s="4">
        <v>3.96</v>
      </c>
      <c r="D52" s="4">
        <v>0.83</v>
      </c>
      <c r="E52" s="4">
        <v>3.42</v>
      </c>
      <c r="F52" s="4">
        <v>3.1</v>
      </c>
      <c r="G52" s="4">
        <v>8</v>
      </c>
      <c r="I52" s="4">
        <v>1.3889112160667093E-2</v>
      </c>
      <c r="J52" s="4">
        <v>-1.0050335853501451E-2</v>
      </c>
      <c r="K52" s="4">
        <v>0</v>
      </c>
      <c r="L52" s="4">
        <v>5.8651194523980576E-3</v>
      </c>
      <c r="M52" s="4">
        <v>-6.4308903302904025E-3</v>
      </c>
      <c r="N52" s="4">
        <v>2.5317807984290001E-2</v>
      </c>
      <c r="P52" s="28">
        <v>26</v>
      </c>
      <c r="Q52" s="4">
        <v>186080.515625</v>
      </c>
    </row>
    <row r="53" spans="1:17">
      <c r="A53" s="8">
        <v>39861</v>
      </c>
      <c r="B53" s="4">
        <v>7.05</v>
      </c>
      <c r="C53" s="4">
        <v>3.88</v>
      </c>
      <c r="D53" s="4">
        <v>0.82</v>
      </c>
      <c r="E53" s="4">
        <v>3.42</v>
      </c>
      <c r="F53" s="4">
        <v>3.08</v>
      </c>
      <c r="G53" s="4">
        <v>7.75</v>
      </c>
      <c r="I53" s="4">
        <v>-2.797385204240618E-2</v>
      </c>
      <c r="J53" s="4">
        <v>-2.0408871631207123E-2</v>
      </c>
      <c r="K53" s="4">
        <v>-1.212136053234485E-2</v>
      </c>
      <c r="L53" s="4">
        <v>0</v>
      </c>
      <c r="M53" s="4">
        <v>-6.4725145056174788E-3</v>
      </c>
      <c r="N53" s="4">
        <v>-3.1748698314580298E-2</v>
      </c>
      <c r="P53" s="28">
        <v>27</v>
      </c>
      <c r="Q53" s="4">
        <v>10578.0146484375</v>
      </c>
    </row>
    <row r="54" spans="1:17">
      <c r="A54" s="8">
        <v>39862</v>
      </c>
      <c r="B54" s="4">
        <v>7.1</v>
      </c>
      <c r="C54" s="4">
        <v>3.84</v>
      </c>
      <c r="D54" s="4">
        <v>0.84</v>
      </c>
      <c r="E54" s="4">
        <v>3.42</v>
      </c>
      <c r="F54" s="4">
        <v>3.06</v>
      </c>
      <c r="G54" s="4">
        <v>8</v>
      </c>
      <c r="I54" s="4">
        <v>7.0671672230923528E-3</v>
      </c>
      <c r="J54" s="4">
        <v>-1.0362787035546547E-2</v>
      </c>
      <c r="K54" s="4">
        <v>2.4097551579060524E-2</v>
      </c>
      <c r="L54" s="4">
        <v>0</v>
      </c>
      <c r="M54" s="4">
        <v>-6.5146810211937538E-3</v>
      </c>
      <c r="N54" s="4">
        <v>3.174869831458027E-2</v>
      </c>
      <c r="P54" s="28">
        <v>28</v>
      </c>
      <c r="Q54" s="4">
        <v>-28172.234375</v>
      </c>
    </row>
    <row r="55" spans="1:17">
      <c r="A55" s="8">
        <v>39863</v>
      </c>
      <c r="B55" s="4">
        <v>7.1</v>
      </c>
      <c r="C55" s="4">
        <v>3.92</v>
      </c>
      <c r="D55" s="4">
        <v>0.82</v>
      </c>
      <c r="E55" s="4">
        <v>3.48</v>
      </c>
      <c r="F55" s="4">
        <v>3.06</v>
      </c>
      <c r="G55" s="4">
        <v>7.95</v>
      </c>
      <c r="I55" s="4">
        <v>0</v>
      </c>
      <c r="J55" s="4">
        <v>2.061928720273561E-2</v>
      </c>
      <c r="K55" s="4">
        <v>-2.409755157906053E-2</v>
      </c>
      <c r="L55" s="4">
        <v>1.7391742711869239E-2</v>
      </c>
      <c r="M55" s="4">
        <v>0</v>
      </c>
      <c r="N55" s="4">
        <v>-6.2696130135953742E-3</v>
      </c>
      <c r="P55" s="28">
        <v>29</v>
      </c>
      <c r="Q55" s="4">
        <v>169099.015625</v>
      </c>
    </row>
    <row r="56" spans="1:17">
      <c r="A56" s="8">
        <v>39864</v>
      </c>
      <c r="B56" s="4">
        <v>7.15</v>
      </c>
      <c r="C56" s="4">
        <v>3.86</v>
      </c>
      <c r="D56" s="4">
        <v>0.81</v>
      </c>
      <c r="E56" s="4">
        <v>3.48</v>
      </c>
      <c r="F56" s="4">
        <v>2.96</v>
      </c>
      <c r="G56" s="4">
        <v>7.85</v>
      </c>
      <c r="I56" s="4">
        <v>7.0175726586465398E-3</v>
      </c>
      <c r="J56" s="4">
        <v>-1.5424470325631639E-2</v>
      </c>
      <c r="K56" s="4">
        <v>-1.2270092591814247E-2</v>
      </c>
      <c r="L56" s="4">
        <v>0</v>
      </c>
      <c r="M56" s="4">
        <v>-3.3225647628320393E-2</v>
      </c>
      <c r="N56" s="4">
        <v>-1.2658396871923577E-2</v>
      </c>
      <c r="P56" s="28">
        <v>30</v>
      </c>
      <c r="Q56" s="4">
        <v>88252.265625</v>
      </c>
    </row>
    <row r="57" spans="1:17">
      <c r="A57" s="8">
        <v>39867</v>
      </c>
      <c r="B57" s="4">
        <v>7.15</v>
      </c>
      <c r="C57" s="4">
        <v>3.92</v>
      </c>
      <c r="D57" s="4">
        <v>0.8</v>
      </c>
      <c r="E57" s="4">
        <v>3.44</v>
      </c>
      <c r="F57" s="4">
        <v>2.96</v>
      </c>
      <c r="G57" s="4">
        <v>7.9</v>
      </c>
      <c r="I57" s="4">
        <v>0</v>
      </c>
      <c r="J57" s="4">
        <v>1.5424470325631731E-2</v>
      </c>
      <c r="K57" s="4">
        <v>-1.2422519998557209E-2</v>
      </c>
      <c r="L57" s="4">
        <v>-1.1560822401075971E-2</v>
      </c>
      <c r="M57" s="4">
        <v>0</v>
      </c>
      <c r="N57" s="4">
        <v>6.3492276786587445E-3</v>
      </c>
    </row>
    <row r="58" spans="1:17">
      <c r="A58" s="8">
        <v>39868</v>
      </c>
      <c r="B58" s="4">
        <v>7</v>
      </c>
      <c r="C58" s="4">
        <v>3.9</v>
      </c>
      <c r="D58" s="4">
        <v>0.79</v>
      </c>
      <c r="E58" s="4">
        <v>3.44</v>
      </c>
      <c r="F58" s="4">
        <v>2.94</v>
      </c>
      <c r="G58" s="4">
        <v>7.85</v>
      </c>
      <c r="I58" s="4">
        <v>-2.1202207650603051E-2</v>
      </c>
      <c r="J58" s="4">
        <v>-5.1151006667703768E-3</v>
      </c>
      <c r="K58" s="4">
        <v>-1.2578782206860073E-2</v>
      </c>
      <c r="L58" s="4">
        <v>0</v>
      </c>
      <c r="M58" s="4">
        <v>-6.7796869853788038E-3</v>
      </c>
      <c r="N58" s="4">
        <v>-6.3492276786588919E-3</v>
      </c>
    </row>
    <row r="59" spans="1:17">
      <c r="A59" s="8">
        <v>39869</v>
      </c>
      <c r="B59" s="4">
        <v>7.1</v>
      </c>
      <c r="C59" s="4">
        <v>3.92</v>
      </c>
      <c r="D59" s="4">
        <v>0.79</v>
      </c>
      <c r="E59" s="4">
        <v>3.38</v>
      </c>
      <c r="F59" s="4">
        <v>2.94</v>
      </c>
      <c r="G59" s="4">
        <v>8</v>
      </c>
      <c r="I59" s="4">
        <v>1.4184634991956381E-2</v>
      </c>
      <c r="J59" s="4">
        <v>5.1151006667704089E-3</v>
      </c>
      <c r="K59" s="4">
        <v>0</v>
      </c>
      <c r="L59" s="4">
        <v>-1.7595761890379601E-2</v>
      </c>
      <c r="M59" s="4">
        <v>0</v>
      </c>
      <c r="N59" s="4">
        <v>1.8928009885518859E-2</v>
      </c>
    </row>
    <row r="60" spans="1:17">
      <c r="A60" s="8">
        <v>39870</v>
      </c>
      <c r="B60" s="4">
        <v>7.35</v>
      </c>
      <c r="C60" s="4">
        <v>3.94</v>
      </c>
      <c r="D60" s="4">
        <v>0.78</v>
      </c>
      <c r="E60" s="4">
        <v>3.4</v>
      </c>
      <c r="F60" s="4">
        <v>2.94</v>
      </c>
      <c r="G60" s="4">
        <v>8.0500000000000007</v>
      </c>
      <c r="I60" s="4">
        <v>3.4605529177475523E-2</v>
      </c>
      <c r="J60" s="4">
        <v>5.0890695074712281E-3</v>
      </c>
      <c r="K60" s="4">
        <v>-1.2739025777429714E-2</v>
      </c>
      <c r="L60" s="4">
        <v>5.899722127188322E-3</v>
      </c>
      <c r="M60" s="4">
        <v>0</v>
      </c>
      <c r="N60" s="4">
        <v>6.2305497506361628E-3</v>
      </c>
    </row>
    <row r="61" spans="1:17">
      <c r="A61" s="8">
        <v>39871</v>
      </c>
      <c r="B61" s="4">
        <v>7.5</v>
      </c>
      <c r="C61" s="4">
        <v>3.94</v>
      </c>
      <c r="D61" s="4">
        <v>0.79</v>
      </c>
      <c r="E61" s="4">
        <v>3.38</v>
      </c>
      <c r="F61" s="4">
        <v>2.88</v>
      </c>
      <c r="G61" s="4">
        <v>8.0500000000000007</v>
      </c>
      <c r="I61" s="4">
        <v>2.0202707317519469E-2</v>
      </c>
      <c r="J61" s="4">
        <v>0</v>
      </c>
      <c r="K61" s="4">
        <v>1.2739025777429712E-2</v>
      </c>
      <c r="L61" s="4">
        <v>-5.8997221271882708E-3</v>
      </c>
      <c r="M61" s="4">
        <v>-2.0619287202735703E-2</v>
      </c>
      <c r="N61" s="4">
        <v>0</v>
      </c>
    </row>
    <row r="62" spans="1:17">
      <c r="A62" s="8">
        <v>39874</v>
      </c>
      <c r="B62" s="4">
        <v>7.2</v>
      </c>
      <c r="C62" s="4">
        <v>3.84</v>
      </c>
      <c r="D62" s="4">
        <v>0.78</v>
      </c>
      <c r="E62" s="4">
        <v>3.28</v>
      </c>
      <c r="F62" s="4">
        <v>2.66</v>
      </c>
      <c r="G62" s="4">
        <v>7.9</v>
      </c>
      <c r="I62" s="4">
        <v>-4.0821994520255048E-2</v>
      </c>
      <c r="J62" s="4">
        <v>-2.5708356710207037E-2</v>
      </c>
      <c r="K62" s="4">
        <v>-1.2739025777429714E-2</v>
      </c>
      <c r="L62" s="4">
        <v>-3.003228709887509E-2</v>
      </c>
      <c r="M62" s="4">
        <v>-7.9464171354246799E-2</v>
      </c>
      <c r="N62" s="4">
        <v>-1.8809331957496227E-2</v>
      </c>
    </row>
    <row r="63" spans="1:17">
      <c r="A63" s="8">
        <v>39875</v>
      </c>
      <c r="B63" s="4">
        <v>7.2</v>
      </c>
      <c r="C63" s="4">
        <v>3.86</v>
      </c>
      <c r="D63" s="4">
        <v>0.77</v>
      </c>
      <c r="E63" s="4">
        <v>3.24</v>
      </c>
      <c r="F63" s="4">
        <v>2.62</v>
      </c>
      <c r="G63" s="4">
        <v>7.9</v>
      </c>
      <c r="I63" s="4">
        <v>0</v>
      </c>
      <c r="J63" s="4">
        <v>5.19481687710393E-3</v>
      </c>
      <c r="K63" s="4">
        <v>-1.2903404835907954E-2</v>
      </c>
      <c r="L63" s="4">
        <v>-1.2270092591814247E-2</v>
      </c>
      <c r="M63" s="4">
        <v>-1.515180502060222E-2</v>
      </c>
      <c r="N63" s="4">
        <v>0</v>
      </c>
    </row>
    <row r="64" spans="1:17">
      <c r="A64" s="8">
        <v>39876</v>
      </c>
      <c r="B64" s="4">
        <v>7.4</v>
      </c>
      <c r="C64" s="4">
        <v>3.92</v>
      </c>
      <c r="D64" s="4">
        <v>0.79</v>
      </c>
      <c r="E64" s="4">
        <v>3.32</v>
      </c>
      <c r="F64" s="4">
        <v>2.62</v>
      </c>
      <c r="G64" s="4">
        <v>7.85</v>
      </c>
      <c r="I64" s="4">
        <v>2.7398974188114562E-2</v>
      </c>
      <c r="J64" s="4">
        <v>1.5424470325631731E-2</v>
      </c>
      <c r="K64" s="4">
        <v>2.5642430613337652E-2</v>
      </c>
      <c r="L64" s="4">
        <v>2.4391453124159048E-2</v>
      </c>
      <c r="M64" s="4">
        <v>0</v>
      </c>
      <c r="N64" s="4">
        <v>-6.3492276786588919E-3</v>
      </c>
    </row>
    <row r="65" spans="1:14">
      <c r="A65" s="8">
        <v>39877</v>
      </c>
      <c r="B65" s="4">
        <v>7.3</v>
      </c>
      <c r="C65" s="4">
        <v>3.94</v>
      </c>
      <c r="D65" s="4">
        <v>0.79</v>
      </c>
      <c r="E65" s="4">
        <v>3.32</v>
      </c>
      <c r="F65" s="4">
        <v>2.6</v>
      </c>
      <c r="G65" s="4">
        <v>7.85</v>
      </c>
      <c r="I65" s="4">
        <v>-1.3605652055778709E-2</v>
      </c>
      <c r="J65" s="4">
        <v>5.0890695074712281E-3</v>
      </c>
      <c r="K65" s="4">
        <v>0</v>
      </c>
      <c r="L65" s="4">
        <v>0</v>
      </c>
      <c r="M65" s="4">
        <v>-7.6628727455691371E-3</v>
      </c>
      <c r="N65" s="4">
        <v>0</v>
      </c>
    </row>
    <row r="66" spans="1:14">
      <c r="A66" s="8">
        <v>39878</v>
      </c>
      <c r="B66" s="4">
        <v>7.25</v>
      </c>
      <c r="C66" s="4">
        <v>3.96</v>
      </c>
      <c r="D66" s="4">
        <v>0.8</v>
      </c>
      <c r="E66" s="4">
        <v>3.38</v>
      </c>
      <c r="F66" s="4">
        <v>2.66</v>
      </c>
      <c r="G66" s="4">
        <v>7.85</v>
      </c>
      <c r="I66" s="4">
        <v>-6.8728792877620643E-3</v>
      </c>
      <c r="J66" s="4">
        <v>5.0633019565466345E-3</v>
      </c>
      <c r="K66" s="4">
        <v>1.2578782206860185E-2</v>
      </c>
      <c r="L66" s="4">
        <v>1.7910926566530243E-2</v>
      </c>
      <c r="M66" s="4">
        <v>2.2814677766171264E-2</v>
      </c>
      <c r="N66" s="4">
        <v>0</v>
      </c>
    </row>
    <row r="67" spans="1:14">
      <c r="A67" s="8">
        <v>39881</v>
      </c>
      <c r="B67" s="4">
        <v>7.2</v>
      </c>
      <c r="C67" s="4">
        <v>3.94</v>
      </c>
      <c r="D67" s="4">
        <v>0.79</v>
      </c>
      <c r="E67" s="4">
        <v>3.32</v>
      </c>
      <c r="F67" s="4">
        <v>2.56</v>
      </c>
      <c r="G67" s="4">
        <v>7.9</v>
      </c>
      <c r="I67" s="4">
        <v>-6.9204428445737952E-3</v>
      </c>
      <c r="J67" s="4">
        <v>-5.063301956546762E-3</v>
      </c>
      <c r="K67" s="4">
        <v>-1.2578782206860073E-2</v>
      </c>
      <c r="L67" s="4">
        <v>-1.7910926566530219E-2</v>
      </c>
      <c r="M67" s="4">
        <v>-3.8318864302136657E-2</v>
      </c>
      <c r="N67" s="4">
        <v>6.3492276786587445E-3</v>
      </c>
    </row>
    <row r="68" spans="1:14">
      <c r="A68" s="8">
        <v>39882</v>
      </c>
      <c r="B68" s="4">
        <v>7.3</v>
      </c>
      <c r="C68" s="4">
        <v>4</v>
      </c>
      <c r="D68" s="4">
        <v>0.8</v>
      </c>
      <c r="E68" s="4">
        <v>3.36</v>
      </c>
      <c r="F68" s="4">
        <v>2.6</v>
      </c>
      <c r="G68" s="4">
        <v>8</v>
      </c>
      <c r="I68" s="4">
        <v>1.3793322132335769E-2</v>
      </c>
      <c r="J68" s="4">
        <v>1.5113637810048106E-2</v>
      </c>
      <c r="K68" s="4">
        <v>1.2578782206860185E-2</v>
      </c>
      <c r="L68" s="4">
        <v>1.197619104671562E-2</v>
      </c>
      <c r="M68" s="4">
        <v>1.5504186535965254E-2</v>
      </c>
      <c r="N68" s="4">
        <v>1.2578782206859965E-2</v>
      </c>
    </row>
    <row r="69" spans="1:14">
      <c r="A69" s="8">
        <v>39883</v>
      </c>
      <c r="B69" s="4">
        <v>7.25</v>
      </c>
      <c r="C69" s="4">
        <v>3.98</v>
      </c>
      <c r="D69" s="4">
        <v>0.82</v>
      </c>
      <c r="E69" s="4">
        <v>3.34</v>
      </c>
      <c r="F69" s="4">
        <v>2.6</v>
      </c>
      <c r="G69" s="4">
        <v>8</v>
      </c>
      <c r="I69" s="4">
        <v>-6.8728792877620643E-3</v>
      </c>
      <c r="J69" s="4">
        <v>-5.0125418235442863E-3</v>
      </c>
      <c r="K69" s="4">
        <v>2.4692612590371414E-2</v>
      </c>
      <c r="L69" s="4">
        <v>-5.970166986503796E-3</v>
      </c>
      <c r="M69" s="4">
        <v>0</v>
      </c>
      <c r="N69" s="4">
        <v>0</v>
      </c>
    </row>
    <row r="70" spans="1:14">
      <c r="A70" s="8">
        <v>39884</v>
      </c>
      <c r="B70" s="4">
        <v>7.3</v>
      </c>
      <c r="C70" s="4">
        <v>3.64</v>
      </c>
      <c r="D70" s="4">
        <v>0.81</v>
      </c>
      <c r="E70" s="4">
        <v>3.34</v>
      </c>
      <c r="F70" s="4">
        <v>2.64</v>
      </c>
      <c r="G70" s="4">
        <v>8.1</v>
      </c>
      <c r="I70" s="4">
        <v>6.8728792877620504E-3</v>
      </c>
      <c r="J70" s="4">
        <v>-8.9298137647696965E-2</v>
      </c>
      <c r="K70" s="4">
        <v>-1.2270092591814247E-2</v>
      </c>
      <c r="L70" s="4">
        <v>0</v>
      </c>
      <c r="M70" s="4">
        <v>1.5267472130788381E-2</v>
      </c>
      <c r="N70" s="4">
        <v>1.242251999855711E-2</v>
      </c>
    </row>
    <row r="71" spans="1:14">
      <c r="A71" s="8">
        <v>39885</v>
      </c>
      <c r="B71" s="4">
        <v>7.4</v>
      </c>
      <c r="C71" s="4">
        <v>3.68</v>
      </c>
      <c r="D71" s="4">
        <v>0.8</v>
      </c>
      <c r="E71" s="4">
        <v>3.32</v>
      </c>
      <c r="F71" s="4">
        <v>2.84</v>
      </c>
      <c r="G71" s="4">
        <v>8.3000000000000007</v>
      </c>
      <c r="I71" s="4">
        <v>1.3605652055778678E-2</v>
      </c>
      <c r="J71" s="4">
        <v>1.092907053219023E-2</v>
      </c>
      <c r="K71" s="4">
        <v>-1.2422519998557209E-2</v>
      </c>
      <c r="L71" s="4">
        <v>-6.0060240602119218E-3</v>
      </c>
      <c r="M71" s="4">
        <v>7.3025135014889817E-2</v>
      </c>
      <c r="N71" s="4">
        <v>2.4391453124159263E-2</v>
      </c>
    </row>
    <row r="72" spans="1:14">
      <c r="A72" s="8">
        <v>39888</v>
      </c>
      <c r="B72" s="4">
        <v>7.45</v>
      </c>
      <c r="C72" s="4">
        <v>3.76</v>
      </c>
      <c r="D72" s="4">
        <v>0.8</v>
      </c>
      <c r="E72" s="4">
        <v>3.32</v>
      </c>
      <c r="F72" s="4">
        <v>2.82</v>
      </c>
      <c r="G72" s="4">
        <v>8.6</v>
      </c>
      <c r="I72" s="4">
        <v>6.7340321813441194E-3</v>
      </c>
      <c r="J72" s="4">
        <v>2.1506205220963463E-2</v>
      </c>
      <c r="K72" s="4">
        <v>0</v>
      </c>
      <c r="L72" s="4">
        <v>0</v>
      </c>
      <c r="M72" s="4">
        <v>-7.067167223092443E-3</v>
      </c>
      <c r="N72" s="4">
        <v>3.5506688456909602E-2</v>
      </c>
    </row>
    <row r="73" spans="1:14">
      <c r="A73" s="8">
        <v>39889</v>
      </c>
      <c r="B73" s="4">
        <v>7.35</v>
      </c>
      <c r="C73" s="4">
        <v>3.9</v>
      </c>
      <c r="D73" s="4">
        <v>0.81</v>
      </c>
      <c r="E73" s="4">
        <v>3.34</v>
      </c>
      <c r="F73" s="4">
        <v>2.82</v>
      </c>
      <c r="G73" s="4">
        <v>8.5</v>
      </c>
      <c r="I73" s="4">
        <v>-1.3513719166722933E-2</v>
      </c>
      <c r="J73" s="4">
        <v>3.6557595733797729E-2</v>
      </c>
      <c r="K73" s="4">
        <v>1.242251999855711E-2</v>
      </c>
      <c r="L73" s="4">
        <v>6.0060240602119487E-3</v>
      </c>
      <c r="M73" s="4">
        <v>0</v>
      </c>
      <c r="N73" s="4">
        <v>-1.1696039763191187E-2</v>
      </c>
    </row>
    <row r="74" spans="1:14">
      <c r="A74" s="8">
        <v>39890</v>
      </c>
      <c r="B74" s="4">
        <v>7.4</v>
      </c>
      <c r="C74" s="4">
        <v>4</v>
      </c>
      <c r="D74" s="4">
        <v>0.81</v>
      </c>
      <c r="E74" s="4">
        <v>3.32</v>
      </c>
      <c r="F74" s="4">
        <v>2.9</v>
      </c>
      <c r="G74" s="4">
        <v>8.9</v>
      </c>
      <c r="I74" s="4">
        <v>6.7796869853787691E-3</v>
      </c>
      <c r="J74" s="4">
        <v>2.5317807984290001E-2</v>
      </c>
      <c r="K74" s="4">
        <v>0</v>
      </c>
      <c r="L74" s="4">
        <v>-6.0060240602119218E-3</v>
      </c>
      <c r="M74" s="4">
        <v>2.7973852042406162E-2</v>
      </c>
      <c r="N74" s="4">
        <v>4.5985113241823437E-2</v>
      </c>
    </row>
    <row r="75" spans="1:14">
      <c r="A75" s="8">
        <v>39891</v>
      </c>
      <c r="B75" s="4">
        <v>7.4</v>
      </c>
      <c r="C75" s="4">
        <v>3.9</v>
      </c>
      <c r="D75" s="4">
        <v>0.85</v>
      </c>
      <c r="E75" s="4">
        <v>3.28</v>
      </c>
      <c r="F75" s="4">
        <v>2.86</v>
      </c>
      <c r="G75" s="4">
        <v>9.25</v>
      </c>
      <c r="I75" s="4">
        <v>0</v>
      </c>
      <c r="J75" s="4">
        <v>-2.5317807984289897E-2</v>
      </c>
      <c r="K75" s="4">
        <v>4.8202101817877686E-2</v>
      </c>
      <c r="L75" s="4">
        <v>-1.212136053234485E-2</v>
      </c>
      <c r="M75" s="4">
        <v>-1.388911216066715E-2</v>
      </c>
      <c r="N75" s="4">
        <v>3.8572274786239653E-2</v>
      </c>
    </row>
    <row r="76" spans="1:14">
      <c r="A76" s="8">
        <v>39892</v>
      </c>
      <c r="B76" s="4">
        <v>7.35</v>
      </c>
      <c r="C76" s="4">
        <v>3.82</v>
      </c>
      <c r="D76" s="4">
        <v>0.87</v>
      </c>
      <c r="E76" s="4">
        <v>3.34</v>
      </c>
      <c r="F76" s="4">
        <v>2.88</v>
      </c>
      <c r="G76" s="4">
        <v>9.4499999999999993</v>
      </c>
      <c r="I76" s="4">
        <v>-6.7796869853788038E-3</v>
      </c>
      <c r="J76" s="4">
        <v>-2.072613051711697E-2</v>
      </c>
      <c r="K76" s="4">
        <v>2.3256862164267183E-2</v>
      </c>
      <c r="L76" s="4">
        <v>1.8127384592556701E-2</v>
      </c>
      <c r="M76" s="4">
        <v>6.9686693160934355E-3</v>
      </c>
      <c r="N76" s="4">
        <v>2.139118998131756E-2</v>
      </c>
    </row>
    <row r="77" spans="1:14">
      <c r="A77" s="8">
        <v>39895</v>
      </c>
      <c r="B77" s="4">
        <v>7.45</v>
      </c>
      <c r="C77" s="4">
        <v>4.04</v>
      </c>
      <c r="D77" s="4">
        <v>0.86</v>
      </c>
      <c r="E77" s="4">
        <v>3.34</v>
      </c>
      <c r="F77" s="4">
        <v>2.94</v>
      </c>
      <c r="G77" s="4">
        <v>9.6999999999999993</v>
      </c>
      <c r="I77" s="4">
        <v>1.3513719166722855E-2</v>
      </c>
      <c r="J77" s="4">
        <v>5.5994269354575001E-2</v>
      </c>
      <c r="K77" s="4">
        <v>-1.1560822401075971E-2</v>
      </c>
      <c r="L77" s="4">
        <v>0</v>
      </c>
      <c r="M77" s="4">
        <v>2.061928720273561E-2</v>
      </c>
      <c r="N77" s="4">
        <v>2.6111144003685804E-2</v>
      </c>
    </row>
    <row r="78" spans="1:14">
      <c r="A78" s="8">
        <v>39896</v>
      </c>
      <c r="B78" s="4">
        <v>7.4</v>
      </c>
      <c r="C78" s="4">
        <v>4.04</v>
      </c>
      <c r="D78" s="4">
        <v>0.84</v>
      </c>
      <c r="E78" s="4">
        <v>3.32</v>
      </c>
      <c r="F78" s="4">
        <v>2.88</v>
      </c>
      <c r="G78" s="4">
        <v>10.1</v>
      </c>
      <c r="I78" s="4">
        <v>-6.7340321813440683E-3</v>
      </c>
      <c r="J78" s="4">
        <v>0</v>
      </c>
      <c r="K78" s="4">
        <v>-2.3530497410194161E-2</v>
      </c>
      <c r="L78" s="4">
        <v>-6.0060240602119218E-3</v>
      </c>
      <c r="M78" s="4">
        <v>-2.0619287202735703E-2</v>
      </c>
      <c r="N78" s="4">
        <v>4.0409538337876701E-2</v>
      </c>
    </row>
    <row r="79" spans="1:14">
      <c r="A79" s="8">
        <v>39897</v>
      </c>
      <c r="B79" s="4">
        <v>7.4</v>
      </c>
      <c r="C79" s="4">
        <v>4.0199999999999996</v>
      </c>
      <c r="D79" s="4">
        <v>0.84</v>
      </c>
      <c r="E79" s="4">
        <v>3.28</v>
      </c>
      <c r="F79" s="4">
        <v>2.84</v>
      </c>
      <c r="G79" s="4">
        <v>9.8000000000000007</v>
      </c>
      <c r="I79" s="4">
        <v>0</v>
      </c>
      <c r="J79" s="4">
        <v>-4.9627893421291249E-3</v>
      </c>
      <c r="K79" s="4">
        <v>0</v>
      </c>
      <c r="L79" s="4">
        <v>-1.212136053234485E-2</v>
      </c>
      <c r="M79" s="4">
        <v>-1.3986241974739952E-2</v>
      </c>
      <c r="N79" s="4">
        <v>-3.0153038170687443E-2</v>
      </c>
    </row>
    <row r="80" spans="1:14">
      <c r="A80" s="8">
        <v>39898</v>
      </c>
      <c r="B80" s="4">
        <v>7.4</v>
      </c>
      <c r="C80" s="4">
        <v>4.08</v>
      </c>
      <c r="D80" s="4">
        <v>0.82</v>
      </c>
      <c r="E80" s="4">
        <v>3.32</v>
      </c>
      <c r="F80" s="4">
        <v>2.84</v>
      </c>
      <c r="G80" s="4">
        <v>9.65</v>
      </c>
      <c r="I80" s="4">
        <v>0</v>
      </c>
      <c r="J80" s="4">
        <v>1.4815085785140682E-2</v>
      </c>
      <c r="K80" s="4">
        <v>-2.409755157906053E-2</v>
      </c>
      <c r="L80" s="4">
        <v>1.212136053234482E-2</v>
      </c>
      <c r="M80" s="4">
        <v>0</v>
      </c>
      <c r="N80" s="4">
        <v>-1.5424470325631752E-2</v>
      </c>
    </row>
    <row r="81" spans="1:14">
      <c r="A81" s="8">
        <v>39899</v>
      </c>
      <c r="B81" s="4">
        <v>7.4</v>
      </c>
      <c r="C81" s="4">
        <v>4.16</v>
      </c>
      <c r="D81" s="4">
        <v>0.84</v>
      </c>
      <c r="E81" s="4">
        <v>3.36</v>
      </c>
      <c r="F81" s="4">
        <v>2.84</v>
      </c>
      <c r="G81" s="4">
        <v>9.8000000000000007</v>
      </c>
      <c r="I81" s="4">
        <v>0</v>
      </c>
      <c r="J81" s="4">
        <v>1.9418085857101516E-2</v>
      </c>
      <c r="K81" s="4">
        <v>2.4097551579060524E-2</v>
      </c>
      <c r="L81" s="4">
        <v>1.197619104671562E-2</v>
      </c>
      <c r="M81" s="4">
        <v>0</v>
      </c>
      <c r="N81" s="4">
        <v>1.5424470325631731E-2</v>
      </c>
    </row>
    <row r="82" spans="1:14">
      <c r="A82" s="8">
        <v>39902</v>
      </c>
      <c r="B82" s="4">
        <v>7.4</v>
      </c>
      <c r="C82" s="4">
        <v>3.96</v>
      </c>
      <c r="D82" s="4">
        <v>0.84</v>
      </c>
      <c r="E82" s="4">
        <v>3.24</v>
      </c>
      <c r="F82" s="4">
        <v>2.78</v>
      </c>
      <c r="G82" s="4">
        <v>9.5500000000000007</v>
      </c>
      <c r="I82" s="4">
        <v>0</v>
      </c>
      <c r="J82" s="4">
        <v>-4.9271049006782794E-2</v>
      </c>
      <c r="K82" s="4">
        <v>0</v>
      </c>
      <c r="L82" s="4">
        <v>-3.6367644170874715E-2</v>
      </c>
      <c r="M82" s="4">
        <v>-2.1353124470568946E-2</v>
      </c>
      <c r="N82" s="4">
        <v>-2.5841231183887328E-2</v>
      </c>
    </row>
    <row r="83" spans="1:14">
      <c r="A83" s="8">
        <v>39903</v>
      </c>
      <c r="B83" s="4">
        <v>7.4</v>
      </c>
      <c r="C83" s="4">
        <v>4</v>
      </c>
      <c r="D83" s="4">
        <v>0.84</v>
      </c>
      <c r="E83" s="4">
        <v>3.24</v>
      </c>
      <c r="F83" s="4">
        <v>2.74</v>
      </c>
      <c r="G83" s="4">
        <v>9.6</v>
      </c>
      <c r="I83" s="4">
        <v>0</v>
      </c>
      <c r="J83" s="4">
        <v>1.0050335853501506E-2</v>
      </c>
      <c r="K83" s="4">
        <v>0</v>
      </c>
      <c r="L83" s="4">
        <v>0</v>
      </c>
      <c r="M83" s="4">
        <v>-1.4493007302566639E-2</v>
      </c>
      <c r="N83" s="4">
        <v>5.2219439811516249E-3</v>
      </c>
    </row>
    <row r="84" spans="1:14">
      <c r="A84" s="8">
        <v>39904</v>
      </c>
      <c r="B84" s="4">
        <v>7.4</v>
      </c>
      <c r="C84" s="4">
        <v>4.0199999999999996</v>
      </c>
      <c r="D84" s="4">
        <v>0.84</v>
      </c>
      <c r="E84" s="4">
        <v>3.22</v>
      </c>
      <c r="F84" s="4">
        <v>2.76</v>
      </c>
      <c r="G84" s="4">
        <v>9.65</v>
      </c>
      <c r="I84" s="4">
        <v>0</v>
      </c>
      <c r="J84" s="4">
        <v>4.9875415110389679E-3</v>
      </c>
      <c r="K84" s="4">
        <v>0</v>
      </c>
      <c r="L84" s="4">
        <v>-6.191970247921107E-3</v>
      </c>
      <c r="M84" s="4">
        <v>7.2727593290796569E-3</v>
      </c>
      <c r="N84" s="4">
        <v>5.1948168771041511E-3</v>
      </c>
    </row>
    <row r="85" spans="1:14">
      <c r="A85" s="8">
        <v>39905</v>
      </c>
      <c r="B85" s="4">
        <v>7.75</v>
      </c>
      <c r="C85" s="4">
        <v>4.3</v>
      </c>
      <c r="D85" s="4">
        <v>0.88</v>
      </c>
      <c r="E85" s="4">
        <v>3.22</v>
      </c>
      <c r="F85" s="4">
        <v>2.88</v>
      </c>
      <c r="G85" s="4">
        <v>9.85</v>
      </c>
      <c r="I85" s="4">
        <v>4.6212843155131411E-2</v>
      </c>
      <c r="J85" s="4">
        <v>6.733312006858716E-2</v>
      </c>
      <c r="K85" s="4">
        <v>4.6520015634892907E-2</v>
      </c>
      <c r="L85" s="4">
        <v>0</v>
      </c>
      <c r="M85" s="4">
        <v>4.2559614418795903E-2</v>
      </c>
      <c r="N85" s="4">
        <v>2.051353983310281E-2</v>
      </c>
    </row>
    <row r="86" spans="1:14">
      <c r="A86" s="8">
        <v>39906</v>
      </c>
      <c r="B86" s="4">
        <v>7.75</v>
      </c>
      <c r="C86" s="4">
        <v>4.42</v>
      </c>
      <c r="D86" s="4">
        <v>0.88</v>
      </c>
      <c r="E86" s="4">
        <v>3.18</v>
      </c>
      <c r="F86" s="4">
        <v>2.9</v>
      </c>
      <c r="G86" s="4">
        <v>9.8000000000000007</v>
      </c>
      <c r="I86" s="4">
        <v>0</v>
      </c>
      <c r="J86" s="4">
        <v>2.7524673390089936E-2</v>
      </c>
      <c r="K86" s="4">
        <v>0</v>
      </c>
      <c r="L86" s="4">
        <v>-1.2500162764231494E-2</v>
      </c>
      <c r="M86" s="4">
        <v>6.920442844573757E-3</v>
      </c>
      <c r="N86" s="4">
        <v>-5.0890695074711813E-3</v>
      </c>
    </row>
    <row r="87" spans="1:14">
      <c r="A87" s="8">
        <v>39910</v>
      </c>
      <c r="B87" s="4">
        <v>8.4499999999999993</v>
      </c>
      <c r="C87" s="4">
        <v>4.4400000000000004</v>
      </c>
      <c r="D87" s="4">
        <v>0.9</v>
      </c>
      <c r="E87" s="4">
        <v>3.16</v>
      </c>
      <c r="F87" s="4">
        <v>2.9</v>
      </c>
      <c r="G87" s="4">
        <v>9.85</v>
      </c>
      <c r="I87" s="4">
        <v>8.6473598003826854E-2</v>
      </c>
      <c r="J87" s="4">
        <v>4.5146803545268342E-3</v>
      </c>
      <c r="K87" s="4">
        <v>2.2472855852058576E-2</v>
      </c>
      <c r="L87" s="4">
        <v>-6.309169193264721E-3</v>
      </c>
      <c r="M87" s="4">
        <v>0</v>
      </c>
      <c r="N87" s="4">
        <v>5.0890695074712281E-3</v>
      </c>
    </row>
    <row r="88" spans="1:14">
      <c r="A88" s="8">
        <v>39911</v>
      </c>
      <c r="B88" s="4">
        <v>8.85</v>
      </c>
      <c r="C88" s="4">
        <v>4.4400000000000004</v>
      </c>
      <c r="D88" s="4">
        <v>0.9</v>
      </c>
      <c r="E88" s="4">
        <v>3.14</v>
      </c>
      <c r="F88" s="4">
        <v>2.9</v>
      </c>
      <c r="G88" s="4">
        <v>9.8000000000000007</v>
      </c>
      <c r="I88" s="4">
        <v>4.6251017650755691E-2</v>
      </c>
      <c r="J88" s="4">
        <v>0</v>
      </c>
      <c r="K88" s="4">
        <v>0</v>
      </c>
      <c r="L88" s="4">
        <v>-6.34922767865878E-3</v>
      </c>
      <c r="M88" s="4">
        <v>0</v>
      </c>
      <c r="N88" s="4">
        <v>-5.0890695074711813E-3</v>
      </c>
    </row>
    <row r="89" spans="1:14">
      <c r="A89" s="8">
        <v>39912</v>
      </c>
      <c r="B89" s="4">
        <v>8.85</v>
      </c>
      <c r="C89" s="4">
        <v>4.66</v>
      </c>
      <c r="D89" s="4">
        <v>0.9</v>
      </c>
      <c r="E89" s="4">
        <v>3.14</v>
      </c>
      <c r="F89" s="4">
        <v>2.96</v>
      </c>
      <c r="G89" s="4">
        <v>9.85</v>
      </c>
      <c r="I89" s="4">
        <v>0</v>
      </c>
      <c r="J89" s="4">
        <v>4.8361071693421062E-2</v>
      </c>
      <c r="K89" s="4">
        <v>0</v>
      </c>
      <c r="L89" s="4">
        <v>0</v>
      </c>
      <c r="M89" s="4">
        <v>2.0478531343540701E-2</v>
      </c>
      <c r="N89" s="4">
        <v>5.0890695074712281E-3</v>
      </c>
    </row>
    <row r="90" spans="1:14">
      <c r="A90" s="8">
        <v>39913</v>
      </c>
      <c r="B90" s="4">
        <v>9.0500000000000007</v>
      </c>
      <c r="C90" s="4">
        <v>4.8</v>
      </c>
      <c r="D90" s="4">
        <v>0.91</v>
      </c>
      <c r="E90" s="4">
        <v>3.18</v>
      </c>
      <c r="F90" s="4">
        <v>3.06</v>
      </c>
      <c r="G90" s="4">
        <v>10.1</v>
      </c>
      <c r="I90" s="4">
        <v>2.2347298691996618E-2</v>
      </c>
      <c r="J90" s="4">
        <v>2.9600469776290682E-2</v>
      </c>
      <c r="K90" s="4">
        <v>1.1049836186584935E-2</v>
      </c>
      <c r="L90" s="4">
        <v>1.2658396871923465E-2</v>
      </c>
      <c r="M90" s="4">
        <v>3.3225647628320386E-2</v>
      </c>
      <c r="N90" s="4">
        <v>2.506396866321622E-2</v>
      </c>
    </row>
    <row r="91" spans="1:14">
      <c r="A91" s="8">
        <v>39919</v>
      </c>
      <c r="B91" s="4">
        <v>9.6</v>
      </c>
      <c r="C91" s="4">
        <v>4.78</v>
      </c>
      <c r="D91" s="4">
        <v>0.9</v>
      </c>
      <c r="E91" s="4">
        <v>3.16</v>
      </c>
      <c r="F91" s="4">
        <v>3.06</v>
      </c>
      <c r="G91" s="4">
        <v>10.6</v>
      </c>
      <c r="I91" s="4">
        <v>5.8998340761955759E-2</v>
      </c>
      <c r="J91" s="4">
        <v>-4.1753714104805105E-3</v>
      </c>
      <c r="K91" s="4">
        <v>-1.1049836186584935E-2</v>
      </c>
      <c r="L91" s="4">
        <v>-6.309169193264721E-3</v>
      </c>
      <c r="M91" s="4">
        <v>0</v>
      </c>
      <c r="N91" s="4">
        <v>4.8318577270807732E-2</v>
      </c>
    </row>
    <row r="92" spans="1:14">
      <c r="A92" s="8">
        <v>39920</v>
      </c>
      <c r="B92" s="4">
        <v>9.6999999999999993</v>
      </c>
      <c r="C92" s="4">
        <v>4.6399999999999997</v>
      </c>
      <c r="D92" s="4">
        <v>0.88</v>
      </c>
      <c r="E92" s="4">
        <v>3.12</v>
      </c>
      <c r="F92" s="4">
        <v>3.1</v>
      </c>
      <c r="G92" s="4">
        <v>10.6</v>
      </c>
      <c r="I92" s="4">
        <v>1.0362787035546658E-2</v>
      </c>
      <c r="J92" s="4">
        <v>-2.9726180265200849E-2</v>
      </c>
      <c r="K92" s="4">
        <v>-2.2472855852058628E-2</v>
      </c>
      <c r="L92" s="4">
        <v>-1.2739025777429714E-2</v>
      </c>
      <c r="M92" s="4">
        <v>1.2987195526811112E-2</v>
      </c>
      <c r="N92" s="4">
        <v>0</v>
      </c>
    </row>
    <row r="93" spans="1:14">
      <c r="A93" s="8">
        <v>39923</v>
      </c>
      <c r="B93" s="4">
        <v>10</v>
      </c>
      <c r="C93" s="4">
        <v>4.66</v>
      </c>
      <c r="D93" s="4">
        <v>0.96</v>
      </c>
      <c r="E93" s="4">
        <v>3.16</v>
      </c>
      <c r="F93" s="4">
        <v>3.3</v>
      </c>
      <c r="G93" s="4">
        <v>10.8</v>
      </c>
      <c r="I93" s="4">
        <v>3.0459207484708654E-2</v>
      </c>
      <c r="J93" s="4">
        <v>4.3010818993907017E-3</v>
      </c>
      <c r="K93" s="4">
        <v>8.7011376989629699E-2</v>
      </c>
      <c r="L93" s="4">
        <v>1.2739025777429712E-2</v>
      </c>
      <c r="M93" s="4">
        <v>6.252035698133393E-2</v>
      </c>
      <c r="N93" s="4">
        <v>1.8692133012152546E-2</v>
      </c>
    </row>
    <row r="94" spans="1:14">
      <c r="A94" s="8">
        <v>39924</v>
      </c>
      <c r="B94" s="4">
        <v>9.9499999999999993</v>
      </c>
      <c r="C94" s="4">
        <v>4.58</v>
      </c>
      <c r="D94" s="4">
        <v>0.9</v>
      </c>
      <c r="E94" s="4">
        <v>3.16</v>
      </c>
      <c r="F94" s="4">
        <v>3.28</v>
      </c>
      <c r="G94" s="4">
        <v>10.9</v>
      </c>
      <c r="I94" s="4">
        <v>-5.0125418235443982E-3</v>
      </c>
      <c r="J94" s="4">
        <v>-1.731645001146093E-2</v>
      </c>
      <c r="K94" s="4">
        <v>-6.4538521137571053E-2</v>
      </c>
      <c r="L94" s="4">
        <v>0</v>
      </c>
      <c r="M94" s="4">
        <v>-6.0790460763822263E-3</v>
      </c>
      <c r="N94" s="4">
        <v>9.2166551049240476E-3</v>
      </c>
    </row>
    <row r="95" spans="1:14">
      <c r="A95" s="8">
        <v>39925</v>
      </c>
      <c r="B95" s="4">
        <v>9.65</v>
      </c>
      <c r="C95" s="4">
        <v>4.5</v>
      </c>
      <c r="D95" s="4">
        <v>0.89</v>
      </c>
      <c r="E95" s="4">
        <v>3.22</v>
      </c>
      <c r="F95" s="4">
        <v>3.24</v>
      </c>
      <c r="G95" s="4">
        <v>10.7</v>
      </c>
      <c r="I95" s="4">
        <v>-3.0614635819606748E-2</v>
      </c>
      <c r="J95" s="4">
        <v>-1.7621601349819559E-2</v>
      </c>
      <c r="K95" s="4">
        <v>-1.1173300598125189E-2</v>
      </c>
      <c r="L95" s="4">
        <v>1.8809331957496293E-2</v>
      </c>
      <c r="M95" s="4">
        <v>-1.2270092591814247E-2</v>
      </c>
      <c r="N95" s="4">
        <v>-1.8519047767237642E-2</v>
      </c>
    </row>
    <row r="96" spans="1:14">
      <c r="A96" s="8">
        <v>39926</v>
      </c>
      <c r="B96" s="4">
        <v>9.8000000000000007</v>
      </c>
      <c r="C96" s="4">
        <v>4.54</v>
      </c>
      <c r="D96" s="4">
        <v>0.89</v>
      </c>
      <c r="E96" s="4">
        <v>3.28</v>
      </c>
      <c r="F96" s="4">
        <v>3.34</v>
      </c>
      <c r="G96" s="4">
        <v>11</v>
      </c>
      <c r="I96" s="4">
        <v>1.5424470325631731E-2</v>
      </c>
      <c r="J96" s="4">
        <v>8.8496152769826E-3</v>
      </c>
      <c r="K96" s="4">
        <v>0</v>
      </c>
      <c r="L96" s="4">
        <v>1.8462062839735352E-2</v>
      </c>
      <c r="M96" s="4">
        <v>3.0397477184370948E-2</v>
      </c>
      <c r="N96" s="4">
        <v>2.7651531330510164E-2</v>
      </c>
    </row>
    <row r="97" spans="1:14">
      <c r="A97" s="8">
        <v>39927</v>
      </c>
      <c r="B97" s="4">
        <v>9.85</v>
      </c>
      <c r="C97" s="4">
        <v>4.76</v>
      </c>
      <c r="D97" s="4">
        <v>0.89</v>
      </c>
      <c r="E97" s="4">
        <v>3.26</v>
      </c>
      <c r="F97" s="4">
        <v>3.36</v>
      </c>
      <c r="G97" s="4">
        <v>11.1</v>
      </c>
      <c r="I97" s="4">
        <v>5.0890695074712281E-3</v>
      </c>
      <c r="J97" s="4">
        <v>4.7320656190071954E-2</v>
      </c>
      <c r="K97" s="4">
        <v>0</v>
      </c>
      <c r="L97" s="4">
        <v>-6.1162270174360944E-3</v>
      </c>
      <c r="M97" s="4">
        <v>5.9701669865037544E-3</v>
      </c>
      <c r="N97" s="4">
        <v>9.0498355199178562E-3</v>
      </c>
    </row>
    <row r="98" spans="1:14">
      <c r="A98" s="8">
        <v>39930</v>
      </c>
      <c r="B98" s="4">
        <v>9.9</v>
      </c>
      <c r="C98" s="4">
        <v>4.96</v>
      </c>
      <c r="D98" s="4">
        <v>0.89</v>
      </c>
      <c r="E98" s="4">
        <v>3.24</v>
      </c>
      <c r="F98" s="4">
        <v>3.26</v>
      </c>
      <c r="G98" s="4">
        <v>10.9</v>
      </c>
      <c r="I98" s="4">
        <v>5.0633019565468548E-3</v>
      </c>
      <c r="J98" s="4">
        <v>4.1158072493507551E-2</v>
      </c>
      <c r="K98" s="4">
        <v>0</v>
      </c>
      <c r="L98" s="4">
        <v>-6.1538655743781116E-3</v>
      </c>
      <c r="M98" s="4">
        <v>-3.0213778596496595E-2</v>
      </c>
      <c r="N98" s="4">
        <v>-1.818231908319036E-2</v>
      </c>
    </row>
    <row r="99" spans="1:14">
      <c r="A99" s="8">
        <v>39931</v>
      </c>
      <c r="B99" s="4">
        <v>10.199999999999999</v>
      </c>
      <c r="C99" s="4">
        <v>4.92</v>
      </c>
      <c r="D99" s="4">
        <v>0.92</v>
      </c>
      <c r="E99" s="4">
        <v>3.22</v>
      </c>
      <c r="F99" s="4">
        <v>3.18</v>
      </c>
      <c r="G99" s="4">
        <v>10.7</v>
      </c>
      <c r="I99" s="4">
        <v>2.9852963149681128E-2</v>
      </c>
      <c r="J99" s="4">
        <v>-8.0972102326193618E-3</v>
      </c>
      <c r="K99" s="4">
        <v>3.315220731690055E-2</v>
      </c>
      <c r="L99" s="4">
        <v>-6.191970247921107E-3</v>
      </c>
      <c r="M99" s="4">
        <v>-2.4845998586530662E-2</v>
      </c>
      <c r="N99" s="4">
        <v>-1.8519047767237642E-2</v>
      </c>
    </row>
    <row r="100" spans="1:14">
      <c r="A100" s="8">
        <v>39932</v>
      </c>
      <c r="B100" s="4">
        <v>10.6</v>
      </c>
      <c r="C100" s="4">
        <v>5.55</v>
      </c>
      <c r="D100" s="4">
        <v>0.93</v>
      </c>
      <c r="E100" s="4">
        <v>3.3</v>
      </c>
      <c r="F100" s="4">
        <v>3.3</v>
      </c>
      <c r="G100" s="4">
        <v>11.4</v>
      </c>
      <c r="I100" s="4">
        <v>3.8466280827796143E-2</v>
      </c>
      <c r="J100" s="4">
        <v>0.1204893972541263</v>
      </c>
      <c r="K100" s="4">
        <v>1.0810916104215676E-2</v>
      </c>
      <c r="L100" s="4">
        <v>2.4541108916117445E-2</v>
      </c>
      <c r="M100" s="4">
        <v>3.7041271680349076E-2</v>
      </c>
      <c r="N100" s="4">
        <v>6.33696139325894E-2</v>
      </c>
    </row>
    <row r="101" spans="1:14">
      <c r="A101" s="8">
        <v>39933</v>
      </c>
      <c r="B101" s="4">
        <v>9.9499999999999993</v>
      </c>
      <c r="C101" s="4">
        <v>5.7</v>
      </c>
      <c r="D101" s="4">
        <v>1.04</v>
      </c>
      <c r="E101" s="4">
        <v>3.32</v>
      </c>
      <c r="F101" s="4">
        <v>3.44</v>
      </c>
      <c r="G101" s="4">
        <v>11.2</v>
      </c>
      <c r="I101" s="4">
        <v>-6.3281449947520108E-2</v>
      </c>
      <c r="J101" s="4">
        <v>2.6668247082161489E-2</v>
      </c>
      <c r="K101" s="4">
        <v>0.11179140598811663</v>
      </c>
      <c r="L101" s="4">
        <v>6.0423144559626617E-3</v>
      </c>
      <c r="M101" s="4">
        <v>4.1549002912872481E-2</v>
      </c>
      <c r="N101" s="4">
        <v>-1.7699577099400975E-2</v>
      </c>
    </row>
    <row r="102" spans="1:14">
      <c r="A102" s="8">
        <v>39937</v>
      </c>
      <c r="B102" s="4">
        <v>10.199999999999999</v>
      </c>
      <c r="C102" s="4">
        <v>5.65</v>
      </c>
      <c r="D102" s="4">
        <v>1.1100000000000001</v>
      </c>
      <c r="E102" s="4">
        <v>3.44</v>
      </c>
      <c r="F102" s="4">
        <v>3.76</v>
      </c>
      <c r="G102" s="4">
        <v>11.7</v>
      </c>
      <c r="I102" s="4">
        <v>2.4815169119723993E-2</v>
      </c>
      <c r="J102" s="4">
        <v>-8.810629682154807E-3</v>
      </c>
      <c r="K102" s="4">
        <v>6.5139302170961449E-2</v>
      </c>
      <c r="L102" s="4">
        <v>3.5506688456909817E-2</v>
      </c>
      <c r="M102" s="4">
        <v>8.8947486016496116E-2</v>
      </c>
      <c r="N102" s="4">
        <v>4.3675063502661635E-2</v>
      </c>
    </row>
    <row r="103" spans="1:14">
      <c r="A103" s="8">
        <v>39939</v>
      </c>
      <c r="B103" s="4">
        <v>13.2</v>
      </c>
      <c r="C103" s="4">
        <v>6.25</v>
      </c>
      <c r="D103" s="4">
        <v>1.26</v>
      </c>
      <c r="E103" s="4">
        <v>3.72</v>
      </c>
      <c r="F103" s="4">
        <v>3.82</v>
      </c>
      <c r="G103" s="4">
        <v>13</v>
      </c>
      <c r="I103" s="4">
        <v>0.25782910930209985</v>
      </c>
      <c r="J103" s="4">
        <v>0.1009259185899605</v>
      </c>
      <c r="K103" s="4">
        <v>0.12675170563914381</v>
      </c>
      <c r="L103" s="4">
        <v>7.8252196899748341E-2</v>
      </c>
      <c r="M103" s="4">
        <v>1.5831465216680662E-2</v>
      </c>
      <c r="N103" s="4">
        <v>0.10536051565782635</v>
      </c>
    </row>
    <row r="104" spans="1:14">
      <c r="A104" s="8">
        <v>39940</v>
      </c>
      <c r="B104" s="4">
        <v>14.9</v>
      </c>
      <c r="C104" s="4">
        <v>6.05</v>
      </c>
      <c r="D104" s="4">
        <v>1.24</v>
      </c>
      <c r="E104" s="4">
        <v>3.76</v>
      </c>
      <c r="F104" s="4">
        <v>4.78</v>
      </c>
      <c r="G104" s="4">
        <v>13.3</v>
      </c>
      <c r="I104" s="4">
        <v>0.12114438335908838</v>
      </c>
      <c r="J104" s="4">
        <v>-3.2523191705560062E-2</v>
      </c>
      <c r="K104" s="4">
        <v>-1.6000341346441189E-2</v>
      </c>
      <c r="L104" s="4">
        <v>1.069528911674795E-2</v>
      </c>
      <c r="M104" s="4">
        <v>0.22419012388488083</v>
      </c>
      <c r="N104" s="4">
        <v>2.2814677766171482E-2</v>
      </c>
    </row>
    <row r="105" spans="1:14">
      <c r="A105" s="8">
        <v>39944</v>
      </c>
      <c r="B105" s="4">
        <v>13.9</v>
      </c>
      <c r="C105" s="4">
        <v>5.85</v>
      </c>
      <c r="D105" s="4">
        <v>1.18</v>
      </c>
      <c r="E105" s="4">
        <v>3.72</v>
      </c>
      <c r="F105" s="4">
        <v>4.76</v>
      </c>
      <c r="G105" s="4">
        <v>12.4</v>
      </c>
      <c r="I105" s="4">
        <v>-6.9472372814767397E-2</v>
      </c>
      <c r="J105" s="4">
        <v>-3.3616610798984974E-2</v>
      </c>
      <c r="K105" s="4">
        <v>-4.9596941139372179E-2</v>
      </c>
      <c r="L105" s="4">
        <v>-1.0695289116747806E-2</v>
      </c>
      <c r="M105" s="4">
        <v>-4.1928782600360393E-3</v>
      </c>
      <c r="N105" s="4">
        <v>-7.0067562616716955E-2</v>
      </c>
    </row>
    <row r="106" spans="1:14">
      <c r="A106" s="8">
        <v>39945</v>
      </c>
      <c r="B106" s="4">
        <v>14.4</v>
      </c>
      <c r="C106" s="4">
        <v>6.4</v>
      </c>
      <c r="D106" s="4">
        <v>1.18</v>
      </c>
      <c r="E106" s="4">
        <v>3.72</v>
      </c>
      <c r="F106" s="4">
        <v>5.15</v>
      </c>
      <c r="G106" s="4">
        <v>12.5</v>
      </c>
      <c r="I106" s="4">
        <v>3.5339366445308863E-2</v>
      </c>
      <c r="J106" s="4">
        <v>8.9856329121861145E-2</v>
      </c>
      <c r="K106" s="4">
        <v>0</v>
      </c>
      <c r="L106" s="4">
        <v>0</v>
      </c>
      <c r="M106" s="4">
        <v>7.8749046432316283E-2</v>
      </c>
      <c r="N106" s="4">
        <v>8.0321716972642527E-3</v>
      </c>
    </row>
    <row r="107" spans="1:14">
      <c r="A107" s="8">
        <v>39946</v>
      </c>
      <c r="B107" s="4">
        <v>13.9</v>
      </c>
      <c r="C107" s="4">
        <v>7</v>
      </c>
      <c r="D107" s="4">
        <v>1.17</v>
      </c>
      <c r="E107" s="4">
        <v>3.82</v>
      </c>
      <c r="F107" s="4">
        <v>5.6</v>
      </c>
      <c r="G107" s="4">
        <v>12.4</v>
      </c>
      <c r="I107" s="4">
        <v>-3.5339366445308849E-2</v>
      </c>
      <c r="J107" s="4">
        <v>8.9612158689687138E-2</v>
      </c>
      <c r="K107" s="4">
        <v>-8.5106896679086191E-3</v>
      </c>
      <c r="L107" s="4">
        <v>2.6526754333428604E-2</v>
      </c>
      <c r="M107" s="4">
        <v>8.3769883065458739E-2</v>
      </c>
      <c r="N107" s="4">
        <v>-8.0321716972642666E-3</v>
      </c>
    </row>
    <row r="108" spans="1:14">
      <c r="A108" s="8">
        <v>39947</v>
      </c>
      <c r="B108" s="4">
        <v>12.9</v>
      </c>
      <c r="C108" s="4">
        <v>6.45</v>
      </c>
      <c r="D108" s="4">
        <v>1.07</v>
      </c>
      <c r="E108" s="4">
        <v>4</v>
      </c>
      <c r="F108" s="4">
        <v>5.25</v>
      </c>
      <c r="G108" s="4">
        <v>11.7</v>
      </c>
      <c r="I108" s="4">
        <v>-7.4661528769019644E-2</v>
      </c>
      <c r="J108" s="4">
        <v>-8.1830018247632128E-2</v>
      </c>
      <c r="K108" s="4">
        <v>-8.9345100335849859E-2</v>
      </c>
      <c r="L108" s="4">
        <v>4.6043938501406798E-2</v>
      </c>
      <c r="M108" s="4">
        <v>-6.4538521137571053E-2</v>
      </c>
      <c r="N108" s="4">
        <v>-5.8107630807280812E-2</v>
      </c>
    </row>
    <row r="109" spans="1:14">
      <c r="A109" s="8">
        <v>39948</v>
      </c>
      <c r="B109" s="4">
        <v>13.9</v>
      </c>
      <c r="C109" s="4">
        <v>6.7</v>
      </c>
      <c r="D109" s="4">
        <v>1.03</v>
      </c>
      <c r="E109" s="4">
        <v>4</v>
      </c>
      <c r="F109" s="4">
        <v>4.9400000000000004</v>
      </c>
      <c r="G109" s="4">
        <v>12</v>
      </c>
      <c r="I109" s="4">
        <v>7.4661528769019561E-2</v>
      </c>
      <c r="J109" s="4">
        <v>3.8027395589239323E-2</v>
      </c>
      <c r="K109" s="4">
        <v>-3.8099846232270404E-2</v>
      </c>
      <c r="L109" s="4">
        <v>0</v>
      </c>
      <c r="M109" s="4">
        <v>-6.0862745403701207E-2</v>
      </c>
      <c r="N109" s="4">
        <v>2.5317807984290001E-2</v>
      </c>
    </row>
    <row r="110" spans="1:14">
      <c r="A110" s="8">
        <v>39951</v>
      </c>
      <c r="B110" s="4">
        <v>14.6</v>
      </c>
      <c r="C110" s="4">
        <v>6.95</v>
      </c>
      <c r="D110" s="4">
        <v>1.05</v>
      </c>
      <c r="E110" s="4">
        <v>4.0199999999999996</v>
      </c>
      <c r="F110" s="4">
        <v>5.2</v>
      </c>
      <c r="G110" s="4">
        <v>12.6</v>
      </c>
      <c r="I110" s="4">
        <v>4.9132688577644593E-2</v>
      </c>
      <c r="J110" s="4">
        <v>3.6634133179780384E-2</v>
      </c>
      <c r="K110" s="4">
        <v>1.9231361927887592E-2</v>
      </c>
      <c r="L110" s="4">
        <v>4.9875415110389679E-3</v>
      </c>
      <c r="M110" s="4">
        <v>5.1293294387550481E-2</v>
      </c>
      <c r="N110" s="4">
        <v>4.8790164169432049E-2</v>
      </c>
    </row>
    <row r="111" spans="1:14">
      <c r="A111" s="8">
        <v>39952</v>
      </c>
      <c r="B111" s="4">
        <v>14.8</v>
      </c>
      <c r="C111" s="4">
        <v>7.25</v>
      </c>
      <c r="D111" s="4">
        <v>1.08</v>
      </c>
      <c r="E111" s="4">
        <v>4.12</v>
      </c>
      <c r="F111" s="4">
        <v>5.3</v>
      </c>
      <c r="G111" s="4">
        <v>12.7</v>
      </c>
      <c r="I111" s="4">
        <v>1.3605652055778678E-2</v>
      </c>
      <c r="J111" s="4">
        <v>4.2259809289882599E-2</v>
      </c>
      <c r="K111" s="4">
        <v>2.8170876966696439E-2</v>
      </c>
      <c r="L111" s="4">
        <v>2.4571260730505542E-2</v>
      </c>
      <c r="M111" s="4">
        <v>1.9048194970694411E-2</v>
      </c>
      <c r="N111" s="4">
        <v>7.9051795071132473E-3</v>
      </c>
    </row>
    <row r="112" spans="1:14">
      <c r="A112" s="8">
        <v>39953</v>
      </c>
      <c r="B112" s="4">
        <v>14.8</v>
      </c>
      <c r="C112" s="4">
        <v>7.35</v>
      </c>
      <c r="D112" s="4">
        <v>1.1299999999999999</v>
      </c>
      <c r="E112" s="4">
        <v>4.12</v>
      </c>
      <c r="F112" s="4">
        <v>5.2</v>
      </c>
      <c r="G112" s="4">
        <v>12.8</v>
      </c>
      <c r="I112" s="4">
        <v>0</v>
      </c>
      <c r="J112" s="4">
        <v>1.3698844358161927E-2</v>
      </c>
      <c r="K112" s="4">
        <v>4.5256591588120648E-2</v>
      </c>
      <c r="L112" s="4">
        <v>0</v>
      </c>
      <c r="M112" s="4">
        <v>-1.9048194970694363E-2</v>
      </c>
      <c r="N112" s="4">
        <v>7.843177461026099E-3</v>
      </c>
    </row>
    <row r="113" spans="1:14">
      <c r="A113" s="8">
        <v>39954</v>
      </c>
      <c r="B113" s="4">
        <v>14.3</v>
      </c>
      <c r="C113" s="4">
        <v>7.1</v>
      </c>
      <c r="D113" s="4">
        <v>1.22</v>
      </c>
      <c r="E113" s="4">
        <v>4.0599999999999996</v>
      </c>
      <c r="F113" s="4">
        <v>5</v>
      </c>
      <c r="G113" s="4">
        <v>12.7</v>
      </c>
      <c r="I113" s="4">
        <v>-3.4367643504207769E-2</v>
      </c>
      <c r="J113" s="4">
        <v>-3.4605529177475607E-2</v>
      </c>
      <c r="K113" s="4">
        <v>7.6633226020916101E-2</v>
      </c>
      <c r="L113" s="4">
        <v>-1.4670189747793855E-2</v>
      </c>
      <c r="M113" s="4">
        <v>-3.9220713153281385E-2</v>
      </c>
      <c r="N113" s="4">
        <v>-7.8431774610260054E-3</v>
      </c>
    </row>
    <row r="114" spans="1:14">
      <c r="A114" s="8">
        <v>39955</v>
      </c>
      <c r="B114" s="4">
        <v>14.4</v>
      </c>
      <c r="C114" s="4">
        <v>7.75</v>
      </c>
      <c r="D114" s="4">
        <v>1.23</v>
      </c>
      <c r="E114" s="4">
        <v>4.08</v>
      </c>
      <c r="F114" s="4">
        <v>5.05</v>
      </c>
      <c r="G114" s="4">
        <v>12.9</v>
      </c>
      <c r="I114" s="4">
        <v>6.9686693160932152E-3</v>
      </c>
      <c r="J114" s="4">
        <v>8.7598059317985977E-2</v>
      </c>
      <c r="K114" s="4">
        <v>8.1633106391608354E-3</v>
      </c>
      <c r="L114" s="4">
        <v>4.9140148024291626E-3</v>
      </c>
      <c r="M114" s="4">
        <v>9.950330853168092E-3</v>
      </c>
      <c r="N114" s="4">
        <v>1.5625317903081033E-2</v>
      </c>
    </row>
    <row r="115" spans="1:14">
      <c r="A115" s="8">
        <v>39958</v>
      </c>
      <c r="B115" s="4">
        <v>14</v>
      </c>
      <c r="C115" s="4">
        <v>8.15</v>
      </c>
      <c r="D115" s="4">
        <v>1.23</v>
      </c>
      <c r="E115" s="4">
        <v>4.18</v>
      </c>
      <c r="F115" s="4">
        <v>4.92</v>
      </c>
      <c r="G115" s="4">
        <v>12.9</v>
      </c>
      <c r="I115" s="4">
        <v>-2.8170876966696335E-2</v>
      </c>
      <c r="J115" s="4">
        <v>5.0325083887515838E-2</v>
      </c>
      <c r="K115" s="4">
        <v>0</v>
      </c>
      <c r="L115" s="4">
        <v>2.421425812059453E-2</v>
      </c>
      <c r="M115" s="4">
        <v>-2.6079712783051736E-2</v>
      </c>
      <c r="N115" s="4">
        <v>0</v>
      </c>
    </row>
    <row r="116" spans="1:14">
      <c r="A116" s="8">
        <v>39959</v>
      </c>
      <c r="B116" s="4">
        <v>13.8</v>
      </c>
      <c r="C116" s="4">
        <v>7.3</v>
      </c>
      <c r="D116" s="4">
        <v>1.19</v>
      </c>
      <c r="E116" s="4">
        <v>4.2</v>
      </c>
      <c r="F116" s="4">
        <v>4.8600000000000003</v>
      </c>
      <c r="G116" s="4">
        <v>12.8</v>
      </c>
      <c r="I116" s="4">
        <v>-1.4388737452099556E-2</v>
      </c>
      <c r="J116" s="4">
        <v>-0.11014357909842597</v>
      </c>
      <c r="K116" s="4">
        <v>-3.3060862260888176E-2</v>
      </c>
      <c r="L116" s="4">
        <v>4.7732787526578117E-3</v>
      </c>
      <c r="M116" s="4">
        <v>-1.2270092591814247E-2</v>
      </c>
      <c r="N116" s="4">
        <v>-7.7821404420549628E-3</v>
      </c>
    </row>
    <row r="117" spans="1:14">
      <c r="A117" s="8">
        <v>39960</v>
      </c>
      <c r="B117" s="4">
        <v>13.8</v>
      </c>
      <c r="C117" s="4">
        <v>7.65</v>
      </c>
      <c r="D117" s="4">
        <v>1.24</v>
      </c>
      <c r="E117" s="4">
        <v>4.26</v>
      </c>
      <c r="F117" s="4">
        <v>5</v>
      </c>
      <c r="G117" s="4">
        <v>12.9</v>
      </c>
      <c r="I117" s="4">
        <v>0</v>
      </c>
      <c r="J117" s="4">
        <v>4.6831299684098993E-2</v>
      </c>
      <c r="K117" s="4">
        <v>4.1158072493507551E-2</v>
      </c>
      <c r="L117" s="4">
        <v>1.4184634991956381E-2</v>
      </c>
      <c r="M117" s="4">
        <v>2.8399474521697957E-2</v>
      </c>
      <c r="N117" s="4">
        <v>7.782140442054949E-3</v>
      </c>
    </row>
    <row r="118" spans="1:14">
      <c r="A118" s="8">
        <v>39961</v>
      </c>
      <c r="B118" s="4">
        <v>13.9</v>
      </c>
      <c r="C118" s="4">
        <v>7.4</v>
      </c>
      <c r="D118" s="4">
        <v>1.25</v>
      </c>
      <c r="E118" s="4">
        <v>4.24</v>
      </c>
      <c r="F118" s="4">
        <v>5.05</v>
      </c>
      <c r="G118" s="4">
        <v>12.9</v>
      </c>
      <c r="I118" s="4">
        <v>7.2202479734870973E-3</v>
      </c>
      <c r="J118" s="4">
        <v>-3.3225647628320393E-2</v>
      </c>
      <c r="K118" s="4">
        <v>8.0321716972642527E-3</v>
      </c>
      <c r="L118" s="4">
        <v>-4.7058910374125048E-3</v>
      </c>
      <c r="M118" s="4">
        <v>9.950330853168092E-3</v>
      </c>
      <c r="N118" s="4">
        <v>0</v>
      </c>
    </row>
    <row r="119" spans="1:14">
      <c r="A119" s="8">
        <v>39962</v>
      </c>
      <c r="B119" s="4">
        <v>13.9</v>
      </c>
      <c r="C119" s="4">
        <v>7.65</v>
      </c>
      <c r="D119" s="4">
        <v>1.37</v>
      </c>
      <c r="E119" s="4">
        <v>4.24</v>
      </c>
      <c r="F119" s="4">
        <v>5.0999999999999996</v>
      </c>
      <c r="G119" s="4">
        <v>12.9</v>
      </c>
      <c r="I119" s="4">
        <v>0</v>
      </c>
      <c r="J119" s="4">
        <v>3.3225647628320386E-2</v>
      </c>
      <c r="K119" s="4">
        <v>9.1667188525823867E-2</v>
      </c>
      <c r="L119" s="4">
        <v>0</v>
      </c>
      <c r="M119" s="4">
        <v>9.8522964430116395E-3</v>
      </c>
      <c r="N119" s="4">
        <v>0</v>
      </c>
    </row>
    <row r="120" spans="1:14">
      <c r="A120" s="8">
        <v>39965</v>
      </c>
      <c r="B120" s="4">
        <v>13.9</v>
      </c>
      <c r="C120" s="4">
        <v>7.6</v>
      </c>
      <c r="D120" s="4">
        <v>1.42</v>
      </c>
      <c r="E120" s="4">
        <v>4.24</v>
      </c>
      <c r="F120" s="4">
        <v>5.4</v>
      </c>
      <c r="G120" s="4">
        <v>13.1</v>
      </c>
      <c r="I120" s="4">
        <v>0</v>
      </c>
      <c r="J120" s="4">
        <v>-6.5574005461591636E-3</v>
      </c>
      <c r="K120" s="4">
        <v>3.5846131773135663E-2</v>
      </c>
      <c r="L120" s="4">
        <v>0</v>
      </c>
      <c r="M120" s="4">
        <v>5.7158413839948831E-2</v>
      </c>
      <c r="N120" s="4">
        <v>1.5384918839479456E-2</v>
      </c>
    </row>
    <row r="121" spans="1:14">
      <c r="A121" s="8">
        <v>39966</v>
      </c>
      <c r="B121" s="4">
        <v>13.6</v>
      </c>
      <c r="C121" s="4">
        <v>7.2</v>
      </c>
      <c r="D121" s="4">
        <v>1.4</v>
      </c>
      <c r="E121" s="4">
        <v>4.2</v>
      </c>
      <c r="F121" s="4">
        <v>5.2</v>
      </c>
      <c r="G121" s="4">
        <v>13</v>
      </c>
      <c r="I121" s="4">
        <v>-2.1819047394639839E-2</v>
      </c>
      <c r="J121" s="4">
        <v>-5.4067221270275703E-2</v>
      </c>
      <c r="K121" s="4">
        <v>-1.4184634991956413E-2</v>
      </c>
      <c r="L121" s="4">
        <v>-9.47874395454377E-3</v>
      </c>
      <c r="M121" s="4">
        <v>-3.7740327982847086E-2</v>
      </c>
      <c r="N121" s="4">
        <v>-7.6628727455691371E-3</v>
      </c>
    </row>
    <row r="122" spans="1:14">
      <c r="A122" s="8">
        <v>39967</v>
      </c>
      <c r="B122" s="4">
        <v>13.7</v>
      </c>
      <c r="C122" s="4">
        <v>7.4</v>
      </c>
      <c r="D122" s="4">
        <v>1.4</v>
      </c>
      <c r="E122" s="4">
        <v>4.22</v>
      </c>
      <c r="F122" s="4">
        <v>6.15</v>
      </c>
      <c r="G122" s="4">
        <v>13.2</v>
      </c>
      <c r="I122" s="4">
        <v>7.3260400920728812E-3</v>
      </c>
      <c r="J122" s="4">
        <v>2.7398974188114562E-2</v>
      </c>
      <c r="K122" s="4">
        <v>0</v>
      </c>
      <c r="L122" s="4">
        <v>4.7506027585977988E-3</v>
      </c>
      <c r="M122" s="4">
        <v>0.16779345623104486</v>
      </c>
      <c r="N122" s="4">
        <v>1.5267472130788381E-2</v>
      </c>
    </row>
    <row r="123" spans="1:14">
      <c r="A123" s="8">
        <v>39968</v>
      </c>
      <c r="B123" s="4">
        <v>14.2</v>
      </c>
      <c r="C123" s="4">
        <v>7.75</v>
      </c>
      <c r="D123" s="4">
        <v>1.41</v>
      </c>
      <c r="E123" s="4">
        <v>4.28</v>
      </c>
      <c r="F123" s="4">
        <v>6.55</v>
      </c>
      <c r="G123" s="4">
        <v>13.7</v>
      </c>
      <c r="I123" s="4">
        <v>3.5846131773135878E-2</v>
      </c>
      <c r="J123" s="4">
        <v>4.6212843155131411E-2</v>
      </c>
      <c r="K123" s="4">
        <v>7.1174677688639549E-3</v>
      </c>
      <c r="L123" s="4">
        <v>1.4117881545785022E-2</v>
      </c>
      <c r="M123" s="4">
        <v>6.301296782873396E-2</v>
      </c>
      <c r="N123" s="4">
        <v>3.7179003241754029E-2</v>
      </c>
    </row>
    <row r="124" spans="1:14">
      <c r="A124" s="8">
        <v>39969</v>
      </c>
      <c r="B124" s="4">
        <v>14.7</v>
      </c>
      <c r="C124" s="4">
        <v>7.6</v>
      </c>
      <c r="D124" s="4">
        <v>1.45</v>
      </c>
      <c r="E124" s="4">
        <v>4.38</v>
      </c>
      <c r="F124" s="4">
        <v>6.45</v>
      </c>
      <c r="G124" s="4">
        <v>13.7</v>
      </c>
      <c r="I124" s="4">
        <v>3.4605529177475523E-2</v>
      </c>
      <c r="J124" s="4">
        <v>-1.9544596072970283E-2</v>
      </c>
      <c r="K124" s="4">
        <v>2.7973852042406162E-2</v>
      </c>
      <c r="L124" s="4">
        <v>2.3095714794649176E-2</v>
      </c>
      <c r="M124" s="4">
        <v>-1.5384918839479343E-2</v>
      </c>
      <c r="N124" s="4">
        <v>0</v>
      </c>
    </row>
    <row r="125" spans="1:14">
      <c r="A125" s="8">
        <v>39972</v>
      </c>
      <c r="B125" s="4">
        <v>14.1</v>
      </c>
      <c r="C125" s="4">
        <v>7.5</v>
      </c>
      <c r="D125" s="4">
        <v>1.44</v>
      </c>
      <c r="E125" s="4">
        <v>4.78</v>
      </c>
      <c r="F125" s="4">
        <v>6.2</v>
      </c>
      <c r="G125" s="4">
        <v>13.4</v>
      </c>
      <c r="I125" s="4">
        <v>-4.1672696400567956E-2</v>
      </c>
      <c r="J125" s="4">
        <v>-1.3245226750020567E-2</v>
      </c>
      <c r="K125" s="4">
        <v>-6.9204428445737952E-3</v>
      </c>
      <c r="L125" s="4">
        <v>8.7391822115009843E-2</v>
      </c>
      <c r="M125" s="4">
        <v>-3.9530838756635205E-2</v>
      </c>
      <c r="N125" s="4">
        <v>-2.2141125877213518E-2</v>
      </c>
    </row>
    <row r="126" spans="1:14">
      <c r="A126" s="8">
        <v>39973</v>
      </c>
      <c r="B126" s="4">
        <v>14.4</v>
      </c>
      <c r="C126" s="4">
        <v>7.6</v>
      </c>
      <c r="D126" s="4">
        <v>1.46</v>
      </c>
      <c r="E126" s="4">
        <v>4.82</v>
      </c>
      <c r="F126" s="4">
        <v>6.35</v>
      </c>
      <c r="G126" s="4">
        <v>13.7</v>
      </c>
      <c r="I126" s="4">
        <v>2.1053409197832482E-2</v>
      </c>
      <c r="J126" s="4">
        <v>1.3245226750020505E-2</v>
      </c>
      <c r="K126" s="4">
        <v>1.3793322132335769E-2</v>
      </c>
      <c r="L126" s="4">
        <v>8.3333815591442404E-3</v>
      </c>
      <c r="M126" s="4">
        <v>2.3905520853554386E-2</v>
      </c>
      <c r="N126" s="4">
        <v>2.2141125877213501E-2</v>
      </c>
    </row>
    <row r="127" spans="1:14">
      <c r="A127" s="8">
        <v>39974</v>
      </c>
      <c r="B127" s="4">
        <v>14.7</v>
      </c>
      <c r="C127" s="4">
        <v>8</v>
      </c>
      <c r="D127" s="4">
        <v>1.54</v>
      </c>
      <c r="E127" s="4">
        <v>4.76</v>
      </c>
      <c r="F127" s="4">
        <v>6.35</v>
      </c>
      <c r="G127" s="4">
        <v>13.8</v>
      </c>
      <c r="I127" s="4">
        <v>2.061928720273561E-2</v>
      </c>
      <c r="J127" s="4">
        <v>5.1293294387550481E-2</v>
      </c>
      <c r="K127" s="4">
        <v>5.3345980705292714E-2</v>
      </c>
      <c r="L127" s="4">
        <v>-1.2526259819180369E-2</v>
      </c>
      <c r="M127" s="4">
        <v>0</v>
      </c>
      <c r="N127" s="4">
        <v>7.2727593290798781E-3</v>
      </c>
    </row>
    <row r="128" spans="1:14">
      <c r="A128" s="8">
        <v>39975</v>
      </c>
      <c r="B128" s="4">
        <v>14.6</v>
      </c>
      <c r="C128" s="4">
        <v>8.6</v>
      </c>
      <c r="D128" s="4">
        <v>1.52</v>
      </c>
      <c r="E128" s="4">
        <v>4.72</v>
      </c>
      <c r="F128" s="4">
        <v>6.25</v>
      </c>
      <c r="G128" s="4">
        <v>14.1</v>
      </c>
      <c r="I128" s="4">
        <v>-6.8259650703998706E-3</v>
      </c>
      <c r="J128" s="4">
        <v>7.2320661579626078E-2</v>
      </c>
      <c r="K128" s="4">
        <v>-1.3072081567352775E-2</v>
      </c>
      <c r="L128" s="4">
        <v>-8.4388686458645949E-3</v>
      </c>
      <c r="M128" s="4">
        <v>-1.5873349156290122E-2</v>
      </c>
      <c r="N128" s="4">
        <v>2.1506205220963463E-2</v>
      </c>
    </row>
    <row r="129" spans="1:14">
      <c r="A129" s="8">
        <v>39976</v>
      </c>
      <c r="B129" s="4">
        <v>14.9</v>
      </c>
      <c r="C129" s="4">
        <v>8.75</v>
      </c>
      <c r="D129" s="4">
        <v>1.56</v>
      </c>
      <c r="E129" s="4">
        <v>4.76</v>
      </c>
      <c r="F129" s="4">
        <v>6.15</v>
      </c>
      <c r="G129" s="4">
        <v>14</v>
      </c>
      <c r="I129" s="4">
        <v>2.0339684237122783E-2</v>
      </c>
      <c r="J129" s="4">
        <v>1.7291497110061043E-2</v>
      </c>
      <c r="K129" s="4">
        <v>2.5975486403260736E-2</v>
      </c>
      <c r="L129" s="4">
        <v>8.4388686458646035E-3</v>
      </c>
      <c r="M129" s="4">
        <v>-1.6129381929883529E-2</v>
      </c>
      <c r="N129" s="4">
        <v>-7.1174677688639896E-3</v>
      </c>
    </row>
    <row r="130" spans="1:14">
      <c r="A130" s="8">
        <v>39979</v>
      </c>
      <c r="B130" s="4">
        <v>14.4</v>
      </c>
      <c r="C130" s="4">
        <v>8.6</v>
      </c>
      <c r="D130" s="4">
        <v>1.53</v>
      </c>
      <c r="E130" s="4">
        <v>4.72</v>
      </c>
      <c r="F130" s="4">
        <v>5.75</v>
      </c>
      <c r="G130" s="4">
        <v>13.5</v>
      </c>
      <c r="I130" s="4">
        <v>-3.4133006369458471E-2</v>
      </c>
      <c r="J130" s="4">
        <v>-1.7291497110061109E-2</v>
      </c>
      <c r="K130" s="4">
        <v>-1.9418085857101627E-2</v>
      </c>
      <c r="L130" s="4">
        <v>-8.4388686458645949E-3</v>
      </c>
      <c r="M130" s="4">
        <v>-6.7252227009167456E-2</v>
      </c>
      <c r="N130" s="4">
        <v>-3.6367644170874833E-2</v>
      </c>
    </row>
    <row r="131" spans="1:14">
      <c r="A131" s="8">
        <v>39980</v>
      </c>
      <c r="B131" s="4">
        <v>14.5</v>
      </c>
      <c r="C131" s="4">
        <v>8.15</v>
      </c>
      <c r="D131" s="4">
        <v>1.44</v>
      </c>
      <c r="E131" s="4">
        <v>4.5</v>
      </c>
      <c r="F131" s="4">
        <v>5.5</v>
      </c>
      <c r="G131" s="4">
        <v>13.1</v>
      </c>
      <c r="I131" s="4">
        <v>6.920442844573757E-3</v>
      </c>
      <c r="J131" s="4">
        <v>-5.3744276006690572E-2</v>
      </c>
      <c r="K131" s="4">
        <v>-6.0624621816434854E-2</v>
      </c>
      <c r="L131" s="4">
        <v>-4.7731402821189921E-2</v>
      </c>
      <c r="M131" s="4">
        <v>-4.445176257083381E-2</v>
      </c>
      <c r="N131" s="4">
        <v>-3.007745523727795E-2</v>
      </c>
    </row>
    <row r="132" spans="1:14">
      <c r="A132" s="8">
        <v>39981</v>
      </c>
      <c r="B132" s="4">
        <v>14.4</v>
      </c>
      <c r="C132" s="4">
        <v>8.5500000000000007</v>
      </c>
      <c r="D132" s="4">
        <v>1.41</v>
      </c>
      <c r="E132" s="4">
        <v>4.5999999999999996</v>
      </c>
      <c r="F132" s="4">
        <v>5.8</v>
      </c>
      <c r="G132" s="4">
        <v>13.4</v>
      </c>
      <c r="I132" s="4">
        <v>-6.9204428445737952E-3</v>
      </c>
      <c r="J132" s="4">
        <v>4.7913355695897449E-2</v>
      </c>
      <c r="K132" s="4">
        <v>-2.1053409197832381E-2</v>
      </c>
      <c r="L132" s="4">
        <v>2.1978906718775167E-2</v>
      </c>
      <c r="M132" s="4">
        <v>5.3109825313948332E-2</v>
      </c>
      <c r="N132" s="4">
        <v>2.2642476749759971E-2</v>
      </c>
    </row>
    <row r="133" spans="1:14">
      <c r="A133" s="8">
        <v>39982</v>
      </c>
      <c r="B133" s="4">
        <v>13.9</v>
      </c>
      <c r="C133" s="4">
        <v>8.35</v>
      </c>
      <c r="D133" s="4">
        <v>1.39</v>
      </c>
      <c r="E133" s="4">
        <v>4.5199999999999996</v>
      </c>
      <c r="F133" s="4">
        <v>5.55</v>
      </c>
      <c r="G133" s="4">
        <v>13.2</v>
      </c>
      <c r="I133" s="4">
        <v>-3.5339366445308849E-2</v>
      </c>
      <c r="J133" s="4">
        <v>-2.3669744085904849E-2</v>
      </c>
      <c r="K133" s="4">
        <v>-1.4285957247476541E-2</v>
      </c>
      <c r="L133" s="4">
        <v>-1.7544309650909508E-2</v>
      </c>
      <c r="M133" s="4">
        <v>-4.4059989794030543E-2</v>
      </c>
      <c r="N133" s="4">
        <v>-1.5037877364540559E-2</v>
      </c>
    </row>
    <row r="134" spans="1:14">
      <c r="A134" s="8">
        <v>39983</v>
      </c>
      <c r="B134" s="4">
        <v>14.7</v>
      </c>
      <c r="C134" s="4">
        <v>8.75</v>
      </c>
      <c r="D134" s="4">
        <v>1.45</v>
      </c>
      <c r="E134" s="4">
        <v>4.7</v>
      </c>
      <c r="F134" s="4">
        <v>5.65</v>
      </c>
      <c r="G134" s="4">
        <v>13.3</v>
      </c>
      <c r="I134" s="4">
        <v>5.5958653648044414E-2</v>
      </c>
      <c r="J134" s="4">
        <v>4.6792161506758884E-2</v>
      </c>
      <c r="K134" s="4">
        <v>4.2259809289882599E-2</v>
      </c>
      <c r="L134" s="4">
        <v>3.9050514871873249E-2</v>
      </c>
      <c r="M134" s="4">
        <v>1.7857617400006472E-2</v>
      </c>
      <c r="N134" s="4">
        <v>7.5472056353831241E-3</v>
      </c>
    </row>
    <row r="135" spans="1:14">
      <c r="A135" s="8">
        <v>39986</v>
      </c>
      <c r="B135" s="4">
        <v>14.8</v>
      </c>
      <c r="C135" s="4">
        <v>9</v>
      </c>
      <c r="D135" s="4">
        <v>1.44</v>
      </c>
      <c r="E135" s="4">
        <v>4.72</v>
      </c>
      <c r="F135" s="4">
        <v>5.5</v>
      </c>
      <c r="G135" s="4">
        <v>13.4</v>
      </c>
      <c r="I135" s="4">
        <v>6.7796869853787691E-3</v>
      </c>
      <c r="J135" s="4">
        <v>2.8170876966696224E-2</v>
      </c>
      <c r="K135" s="4">
        <v>-6.9204428445737952E-3</v>
      </c>
      <c r="L135" s="4">
        <v>4.246290881451004E-3</v>
      </c>
      <c r="M135" s="4">
        <v>-2.6907452919924382E-2</v>
      </c>
      <c r="N135" s="4">
        <v>7.4906717291576587E-3</v>
      </c>
    </row>
    <row r="136" spans="1:14">
      <c r="A136" s="8">
        <v>39987</v>
      </c>
      <c r="B136" s="4">
        <v>14.5</v>
      </c>
      <c r="C136" s="4">
        <v>8.6</v>
      </c>
      <c r="D136" s="4">
        <v>1.39</v>
      </c>
      <c r="E136" s="4">
        <v>4.62</v>
      </c>
      <c r="F136" s="4">
        <v>5.25</v>
      </c>
      <c r="G136" s="4">
        <v>13.2</v>
      </c>
      <c r="I136" s="4">
        <v>-2.0478531343540676E-2</v>
      </c>
      <c r="J136" s="4">
        <v>-4.5462374076757399E-2</v>
      </c>
      <c r="K136" s="4">
        <v>-3.5339366445308849E-2</v>
      </c>
      <c r="L136" s="4">
        <v>-2.1414094503816473E-2</v>
      </c>
      <c r="M136" s="4">
        <v>-4.6520015634892817E-2</v>
      </c>
      <c r="N136" s="4">
        <v>-1.5037877364540559E-2</v>
      </c>
    </row>
    <row r="137" spans="1:14">
      <c r="A137" s="8">
        <v>39988</v>
      </c>
      <c r="B137" s="4">
        <v>14.6</v>
      </c>
      <c r="C137" s="4">
        <v>8.6999999999999993</v>
      </c>
      <c r="D137" s="4">
        <v>1.45</v>
      </c>
      <c r="E137" s="4">
        <v>4.68</v>
      </c>
      <c r="F137" s="4">
        <v>5.35</v>
      </c>
      <c r="G137" s="4">
        <v>13.3</v>
      </c>
      <c r="I137" s="4">
        <v>6.8728792877620504E-3</v>
      </c>
      <c r="J137" s="4">
        <v>1.1560822401076006E-2</v>
      </c>
      <c r="K137" s="4">
        <v>4.2259809289882599E-2</v>
      </c>
      <c r="L137" s="4">
        <v>1.2903404835907782E-2</v>
      </c>
      <c r="M137" s="4">
        <v>1.8868484304382736E-2</v>
      </c>
      <c r="N137" s="4">
        <v>7.5472056353831241E-3</v>
      </c>
    </row>
    <row r="138" spans="1:14">
      <c r="A138" s="8">
        <v>39989</v>
      </c>
      <c r="B138" s="4">
        <v>14.4</v>
      </c>
      <c r="C138" s="4">
        <v>8.6999999999999993</v>
      </c>
      <c r="D138" s="4">
        <v>1.5</v>
      </c>
      <c r="E138" s="4">
        <v>4.7</v>
      </c>
      <c r="F138" s="4">
        <v>5.55</v>
      </c>
      <c r="G138" s="4">
        <v>13.4</v>
      </c>
      <c r="I138" s="4">
        <v>-1.3793322132335761E-2</v>
      </c>
      <c r="J138" s="4">
        <v>0</v>
      </c>
      <c r="K138" s="4">
        <v>3.3901551675681416E-2</v>
      </c>
      <c r="L138" s="4">
        <v>4.2643987864577392E-3</v>
      </c>
      <c r="M138" s="4">
        <v>3.6701366850427963E-2</v>
      </c>
      <c r="N138" s="4">
        <v>7.4906717291576587E-3</v>
      </c>
    </row>
    <row r="139" spans="1:14">
      <c r="A139" s="8">
        <v>39990</v>
      </c>
      <c r="B139" s="4">
        <v>14.5</v>
      </c>
      <c r="C139" s="4">
        <v>8.4499999999999993</v>
      </c>
      <c r="D139" s="4">
        <v>1.49</v>
      </c>
      <c r="E139" s="4">
        <v>4.68</v>
      </c>
      <c r="F139" s="4">
        <v>5.5</v>
      </c>
      <c r="G139" s="4">
        <v>13.3</v>
      </c>
      <c r="I139" s="4">
        <v>6.920442844573757E-3</v>
      </c>
      <c r="J139" s="4">
        <v>-2.9156584291455578E-2</v>
      </c>
      <c r="K139" s="4">
        <v>-6.688988150796652E-3</v>
      </c>
      <c r="L139" s="4">
        <v>-4.2643987864576507E-3</v>
      </c>
      <c r="M139" s="4">
        <v>-9.0498355199179273E-3</v>
      </c>
      <c r="N139" s="4">
        <v>-7.4906717291576257E-3</v>
      </c>
    </row>
    <row r="140" spans="1:14">
      <c r="A140" s="8">
        <v>39993</v>
      </c>
      <c r="B140" s="4">
        <v>16.899999999999999</v>
      </c>
      <c r="C140" s="4">
        <v>8.6</v>
      </c>
      <c r="D140" s="4">
        <v>1.49</v>
      </c>
      <c r="E140" s="4">
        <v>4.76</v>
      </c>
      <c r="F140" s="4">
        <v>5.65</v>
      </c>
      <c r="G140" s="4">
        <v>14</v>
      </c>
      <c r="I140" s="4">
        <v>0.15316497250249897</v>
      </c>
      <c r="J140" s="4">
        <v>1.759576189037966E-2</v>
      </c>
      <c r="K140" s="4">
        <v>0</v>
      </c>
      <c r="L140" s="4">
        <v>1.6949558313773205E-2</v>
      </c>
      <c r="M140" s="4">
        <v>2.6907452919924402E-2</v>
      </c>
      <c r="N140" s="4">
        <v>5.1293294387550481E-2</v>
      </c>
    </row>
    <row r="141" spans="1:14">
      <c r="A141" s="8">
        <v>39994</v>
      </c>
      <c r="B141" s="4">
        <v>16.3</v>
      </c>
      <c r="C141" s="4">
        <v>8.4</v>
      </c>
      <c r="D141" s="4">
        <v>1.44</v>
      </c>
      <c r="E141" s="4">
        <v>4.78</v>
      </c>
      <c r="F141" s="4">
        <v>5.6</v>
      </c>
      <c r="G141" s="4">
        <v>13.7</v>
      </c>
      <c r="I141" s="4">
        <v>-3.6148514116310981E-2</v>
      </c>
      <c r="J141" s="4">
        <v>-2.3530497410194046E-2</v>
      </c>
      <c r="K141" s="4">
        <v>-3.4133006369458582E-2</v>
      </c>
      <c r="L141" s="4">
        <v>4.1928782600361781E-3</v>
      </c>
      <c r="M141" s="4">
        <v>-8.888947417246152E-3</v>
      </c>
      <c r="N141" s="4">
        <v>-2.1661496781179419E-2</v>
      </c>
    </row>
    <row r="142" spans="1:14">
      <c r="A142" s="8">
        <v>39996</v>
      </c>
      <c r="B142" s="4">
        <v>15.8</v>
      </c>
      <c r="C142" s="4">
        <v>8.1999999999999993</v>
      </c>
      <c r="D142" s="4">
        <v>1.41</v>
      </c>
      <c r="E142" s="4">
        <v>4.8</v>
      </c>
      <c r="F142" s="4">
        <v>6.3</v>
      </c>
      <c r="G142" s="4">
        <v>13.3</v>
      </c>
      <c r="I142" s="4">
        <v>-3.1155167779795576E-2</v>
      </c>
      <c r="J142" s="4">
        <v>-2.4097551579060641E-2</v>
      </c>
      <c r="K142" s="4">
        <v>-2.1053409197832381E-2</v>
      </c>
      <c r="L142" s="4">
        <v>4.175371410480592E-3</v>
      </c>
      <c r="M142" s="4">
        <v>0.11778303565638346</v>
      </c>
      <c r="N142" s="4">
        <v>-2.9631797606371E-2</v>
      </c>
    </row>
    <row r="143" spans="1:14">
      <c r="A143" s="8">
        <v>39997</v>
      </c>
      <c r="B143" s="4">
        <v>16.2</v>
      </c>
      <c r="C143" s="4">
        <v>8.15</v>
      </c>
      <c r="D143" s="4">
        <v>1.41</v>
      </c>
      <c r="E143" s="4">
        <v>4.78</v>
      </c>
      <c r="F143" s="4">
        <v>6.2</v>
      </c>
      <c r="G143" s="4">
        <v>13.3</v>
      </c>
      <c r="I143" s="4">
        <v>2.5001302205417186E-2</v>
      </c>
      <c r="J143" s="4">
        <v>-6.1162270174359825E-3</v>
      </c>
      <c r="K143" s="4">
        <v>0</v>
      </c>
      <c r="L143" s="4">
        <v>-4.1753714104805105E-3</v>
      </c>
      <c r="M143" s="4">
        <v>-1.6000341346441075E-2</v>
      </c>
      <c r="N143" s="4">
        <v>0</v>
      </c>
    </row>
    <row r="144" spans="1:14">
      <c r="A144" s="8">
        <v>40002</v>
      </c>
      <c r="B144" s="4">
        <v>17</v>
      </c>
      <c r="C144" s="4">
        <v>8.1</v>
      </c>
      <c r="D144" s="4">
        <v>1.37</v>
      </c>
      <c r="E144" s="4">
        <v>4.76</v>
      </c>
      <c r="F144" s="4">
        <v>5.75</v>
      </c>
      <c r="G144" s="4">
        <v>13.5</v>
      </c>
      <c r="I144" s="4">
        <v>4.8202101817877686E-2</v>
      </c>
      <c r="J144" s="4">
        <v>-6.1538655743783354E-3</v>
      </c>
      <c r="K144" s="4">
        <v>-2.8778964550043175E-2</v>
      </c>
      <c r="L144" s="4">
        <v>-4.1928782600360393E-3</v>
      </c>
      <c r="M144" s="4">
        <v>-7.5349437241786846E-2</v>
      </c>
      <c r="N144" s="4">
        <v>1.4925650216675574E-2</v>
      </c>
    </row>
    <row r="145" spans="1:14">
      <c r="A145" s="8">
        <v>40003</v>
      </c>
      <c r="B145" s="4">
        <v>16.8</v>
      </c>
      <c r="C145" s="4">
        <v>8.5</v>
      </c>
      <c r="D145" s="4">
        <v>1.44</v>
      </c>
      <c r="E145" s="4">
        <v>4.82</v>
      </c>
      <c r="F145" s="4">
        <v>5.95</v>
      </c>
      <c r="G145" s="4">
        <v>13.5</v>
      </c>
      <c r="I145" s="4">
        <v>-1.1834457647002796E-2</v>
      </c>
      <c r="J145" s="4">
        <v>4.8202101817877686E-2</v>
      </c>
      <c r="K145" s="4">
        <v>4.9832373747875539E-2</v>
      </c>
      <c r="L145" s="4">
        <v>1.2526259819180477E-2</v>
      </c>
      <c r="M145" s="4">
        <v>3.4191364748279343E-2</v>
      </c>
      <c r="N145" s="4">
        <v>0</v>
      </c>
    </row>
    <row r="146" spans="1:14">
      <c r="A146" s="8">
        <v>40004</v>
      </c>
      <c r="B146" s="4">
        <v>17.100000000000001</v>
      </c>
      <c r="C146" s="4">
        <v>8.4499999999999993</v>
      </c>
      <c r="D146" s="4">
        <v>1.4</v>
      </c>
      <c r="E146" s="4">
        <v>4.8</v>
      </c>
      <c r="F146" s="4">
        <v>5.55</v>
      </c>
      <c r="G146" s="4">
        <v>13.1</v>
      </c>
      <c r="I146" s="4">
        <v>1.7699577099400857E-2</v>
      </c>
      <c r="J146" s="4">
        <v>-5.8997221271883827E-3</v>
      </c>
      <c r="K146" s="4">
        <v>-2.8170876966696335E-2</v>
      </c>
      <c r="L146" s="4">
        <v>-4.1580101486637881E-3</v>
      </c>
      <c r="M146" s="4">
        <v>-6.959329179919535E-2</v>
      </c>
      <c r="N146" s="4">
        <v>-3.007745523727795E-2</v>
      </c>
    </row>
    <row r="147" spans="1:14">
      <c r="A147" s="8">
        <v>40007</v>
      </c>
      <c r="B147" s="4">
        <v>16.7</v>
      </c>
      <c r="C147" s="4">
        <v>8.25</v>
      </c>
      <c r="D147" s="4">
        <v>1.39</v>
      </c>
      <c r="E147" s="4">
        <v>4.72</v>
      </c>
      <c r="F147" s="4">
        <v>5.45</v>
      </c>
      <c r="G147" s="4">
        <v>12.7</v>
      </c>
      <c r="I147" s="4">
        <v>-2.3669744085904849E-2</v>
      </c>
      <c r="J147" s="4">
        <v>-2.3953241022492758E-2</v>
      </c>
      <c r="K147" s="4">
        <v>-7.168489478612516E-3</v>
      </c>
      <c r="L147" s="4">
        <v>-1.6807118316381289E-2</v>
      </c>
      <c r="M147" s="4">
        <v>-1.818231908319036E-2</v>
      </c>
      <c r="N147" s="4">
        <v>-3.1010236742560322E-2</v>
      </c>
    </row>
    <row r="148" spans="1:14">
      <c r="A148" s="8">
        <v>40008</v>
      </c>
      <c r="B148" s="4">
        <v>16.899999999999999</v>
      </c>
      <c r="C148" s="4">
        <v>8.4499999999999993</v>
      </c>
      <c r="D148" s="4">
        <v>1.48</v>
      </c>
      <c r="E148" s="4">
        <v>4.76</v>
      </c>
      <c r="F148" s="4">
        <v>5.65</v>
      </c>
      <c r="G148" s="4">
        <v>13</v>
      </c>
      <c r="I148" s="4">
        <v>1.1904902506318239E-2</v>
      </c>
      <c r="J148" s="4">
        <v>2.3953241022492796E-2</v>
      </c>
      <c r="K148" s="4">
        <v>6.2738340633423345E-2</v>
      </c>
      <c r="L148" s="4">
        <v>8.4388686458646035E-3</v>
      </c>
      <c r="M148" s="4">
        <v>3.6039936483196873E-2</v>
      </c>
      <c r="N148" s="4">
        <v>2.3347363996991107E-2</v>
      </c>
    </row>
    <row r="149" spans="1:14">
      <c r="A149" s="8">
        <v>40009</v>
      </c>
      <c r="B149" s="4">
        <v>16.899999999999999</v>
      </c>
      <c r="C149" s="4">
        <v>8.6</v>
      </c>
      <c r="D149" s="4">
        <v>1.48</v>
      </c>
      <c r="E149" s="4">
        <v>4.8</v>
      </c>
      <c r="F149" s="4">
        <v>5.8</v>
      </c>
      <c r="G149" s="4">
        <v>13.2</v>
      </c>
      <c r="I149" s="4">
        <v>0</v>
      </c>
      <c r="J149" s="4">
        <v>1.759576189037966E-2</v>
      </c>
      <c r="K149" s="4">
        <v>0</v>
      </c>
      <c r="L149" s="4">
        <v>8.3682496705165792E-3</v>
      </c>
      <c r="M149" s="4">
        <v>2.6202372394023902E-2</v>
      </c>
      <c r="N149" s="4">
        <v>1.5267472130788381E-2</v>
      </c>
    </row>
    <row r="150" spans="1:14">
      <c r="A150" s="8">
        <v>40010</v>
      </c>
      <c r="B150" s="4">
        <v>16.899999999999999</v>
      </c>
      <c r="C150" s="4">
        <v>8.65</v>
      </c>
      <c r="D150" s="4">
        <v>1.46</v>
      </c>
      <c r="E150" s="4">
        <v>4.8</v>
      </c>
      <c r="F150" s="4">
        <v>5.6</v>
      </c>
      <c r="G150" s="4">
        <v>13.1</v>
      </c>
      <c r="I150" s="4">
        <v>0</v>
      </c>
      <c r="J150" s="4">
        <v>5.7971176843259146E-3</v>
      </c>
      <c r="K150" s="4">
        <v>-1.3605652055778598E-2</v>
      </c>
      <c r="L150" s="4">
        <v>0</v>
      </c>
      <c r="M150" s="4">
        <v>-3.5091319811270172E-2</v>
      </c>
      <c r="N150" s="4">
        <v>-7.6045993852193036E-3</v>
      </c>
    </row>
    <row r="151" spans="1:14">
      <c r="A151" s="8">
        <v>40011</v>
      </c>
      <c r="B151" s="4">
        <v>17.7</v>
      </c>
      <c r="C151" s="4">
        <v>8.9</v>
      </c>
      <c r="D151" s="4">
        <v>1.51</v>
      </c>
      <c r="E151" s="4">
        <v>4.82</v>
      </c>
      <c r="F151" s="4">
        <v>5.85</v>
      </c>
      <c r="G151" s="4">
        <v>13.4</v>
      </c>
      <c r="I151" s="4">
        <v>4.6251017650755691E-2</v>
      </c>
      <c r="J151" s="4">
        <v>2.8491955794306242E-2</v>
      </c>
      <c r="K151" s="4">
        <v>3.3673215106588023E-2</v>
      </c>
      <c r="L151" s="4">
        <v>4.1580101486638982E-3</v>
      </c>
      <c r="M151" s="4">
        <v>4.3675063502661635E-2</v>
      </c>
      <c r="N151" s="4">
        <v>2.2642476749759971E-2</v>
      </c>
    </row>
    <row r="152" spans="1:14">
      <c r="A152" s="8">
        <v>40014</v>
      </c>
      <c r="B152" s="4">
        <v>17.7</v>
      </c>
      <c r="C152" s="4">
        <v>9.3000000000000007</v>
      </c>
      <c r="D152" s="4">
        <v>1.59</v>
      </c>
      <c r="E152" s="4">
        <v>4.9000000000000004</v>
      </c>
      <c r="F152" s="4">
        <v>5.95</v>
      </c>
      <c r="G152" s="4">
        <v>13.5</v>
      </c>
      <c r="I152" s="4">
        <v>0</v>
      </c>
      <c r="J152" s="4">
        <v>4.3963123421116204E-2</v>
      </c>
      <c r="K152" s="4">
        <v>5.1624365405307245E-2</v>
      </c>
      <c r="L152" s="4">
        <v>1.6461277054071931E-2</v>
      </c>
      <c r="M152" s="4">
        <v>1.6949558313773424E-2</v>
      </c>
      <c r="N152" s="4">
        <v>7.4349784875179905E-3</v>
      </c>
    </row>
    <row r="153" spans="1:14">
      <c r="A153" s="8">
        <v>40015</v>
      </c>
      <c r="B153" s="4">
        <v>17.5</v>
      </c>
      <c r="C153" s="4">
        <v>9.4499999999999993</v>
      </c>
      <c r="D153" s="4">
        <v>1.69</v>
      </c>
      <c r="E153" s="4">
        <v>4.88</v>
      </c>
      <c r="F153" s="4">
        <v>5.85</v>
      </c>
      <c r="G153" s="4">
        <v>13.7</v>
      </c>
      <c r="I153" s="4">
        <v>-1.1363758650315095E-2</v>
      </c>
      <c r="J153" s="4">
        <v>1.6000341346440902E-2</v>
      </c>
      <c r="K153" s="4">
        <v>6.0994512702841931E-2</v>
      </c>
      <c r="L153" s="4">
        <v>-4.0899852515251661E-3</v>
      </c>
      <c r="M153" s="4">
        <v>-1.694955831377332E-2</v>
      </c>
      <c r="N153" s="4">
        <v>1.4706147389695487E-2</v>
      </c>
    </row>
    <row r="154" spans="1:14">
      <c r="A154" s="8">
        <v>40016</v>
      </c>
      <c r="B154" s="4">
        <v>17.3</v>
      </c>
      <c r="C154" s="4">
        <v>9.5500000000000007</v>
      </c>
      <c r="D154" s="4">
        <v>1.62</v>
      </c>
      <c r="E154" s="4">
        <v>4.8</v>
      </c>
      <c r="F154" s="4">
        <v>6.05</v>
      </c>
      <c r="G154" s="4">
        <v>13.4</v>
      </c>
      <c r="I154" s="4">
        <v>-1.1494379425735021E-2</v>
      </c>
      <c r="J154" s="4">
        <v>1.0526412986987603E-2</v>
      </c>
      <c r="K154" s="4">
        <v>-4.2302379690689271E-2</v>
      </c>
      <c r="L154" s="4">
        <v>-1.6529301951210582E-2</v>
      </c>
      <c r="M154" s="4">
        <v>3.3616610798985064E-2</v>
      </c>
      <c r="N154" s="4">
        <v>-2.2141125877213518E-2</v>
      </c>
    </row>
    <row r="155" spans="1:14">
      <c r="A155" s="8">
        <v>40017</v>
      </c>
      <c r="B155" s="4">
        <v>17.600000000000001</v>
      </c>
      <c r="C155" s="4">
        <v>9.4499999999999993</v>
      </c>
      <c r="D155" s="4">
        <v>1.68</v>
      </c>
      <c r="E155" s="4">
        <v>4.84</v>
      </c>
      <c r="F155" s="4">
        <v>6.35</v>
      </c>
      <c r="G155" s="4">
        <v>13.8</v>
      </c>
      <c r="I155" s="4">
        <v>1.7192400540372771E-2</v>
      </c>
      <c r="J155" s="4">
        <v>-1.0526412986987617E-2</v>
      </c>
      <c r="K155" s="4">
        <v>3.6367644170874791E-2</v>
      </c>
      <c r="L155" s="4">
        <v>8.2988028146950641E-3</v>
      </c>
      <c r="M155" s="4">
        <v>4.8396540861850239E-2</v>
      </c>
      <c r="N155" s="4">
        <v>2.9413885206293407E-2</v>
      </c>
    </row>
    <row r="156" spans="1:14">
      <c r="A156" s="8">
        <v>40018</v>
      </c>
      <c r="B156" s="4">
        <v>17.8</v>
      </c>
      <c r="C156" s="4">
        <v>9.85</v>
      </c>
      <c r="D156" s="4">
        <v>1.7</v>
      </c>
      <c r="E156" s="4">
        <v>4.8600000000000003</v>
      </c>
      <c r="F156" s="4">
        <v>6.5</v>
      </c>
      <c r="G156" s="4">
        <v>13.7</v>
      </c>
      <c r="I156" s="4">
        <v>1.1299555253933247E-2</v>
      </c>
      <c r="J156" s="4">
        <v>4.1456713678346128E-2</v>
      </c>
      <c r="K156" s="4">
        <v>1.1834457647002798E-2</v>
      </c>
      <c r="L156" s="4">
        <v>4.1237171838621562E-3</v>
      </c>
      <c r="M156" s="4">
        <v>2.3347363996991107E-2</v>
      </c>
      <c r="N156" s="4">
        <v>-7.2727593290799206E-3</v>
      </c>
    </row>
    <row r="157" spans="1:14">
      <c r="A157" s="8">
        <v>40021</v>
      </c>
      <c r="B157" s="4">
        <v>18</v>
      </c>
      <c r="C157" s="4">
        <v>10.1</v>
      </c>
      <c r="D157" s="4">
        <v>1.67</v>
      </c>
      <c r="E157" s="4">
        <v>4.88</v>
      </c>
      <c r="F157" s="4">
        <v>6.85</v>
      </c>
      <c r="G157" s="4">
        <v>13.7</v>
      </c>
      <c r="I157" s="4">
        <v>1.1173300598125255E-2</v>
      </c>
      <c r="J157" s="4">
        <v>2.506396866321622E-2</v>
      </c>
      <c r="K157" s="4">
        <v>-1.7804624633506707E-2</v>
      </c>
      <c r="L157" s="4">
        <v>4.1067819526532812E-3</v>
      </c>
      <c r="M157" s="4">
        <v>5.2446475372542524E-2</v>
      </c>
      <c r="N157" s="4">
        <v>0</v>
      </c>
    </row>
    <row r="158" spans="1:14">
      <c r="A158" s="8">
        <v>40022</v>
      </c>
      <c r="B158" s="4">
        <v>17.899999999999999</v>
      </c>
      <c r="C158" s="4">
        <v>9.8000000000000007</v>
      </c>
      <c r="D158" s="4">
        <v>1.71</v>
      </c>
      <c r="E158" s="4">
        <v>5.0999999999999996</v>
      </c>
      <c r="F158" s="4">
        <v>6.85</v>
      </c>
      <c r="G158" s="4">
        <v>13.7</v>
      </c>
      <c r="I158" s="4">
        <v>-5.571045049455472E-3</v>
      </c>
      <c r="J158" s="4">
        <v>-3.0153038170687443E-2</v>
      </c>
      <c r="K158" s="4">
        <v>2.3669744085904703E-2</v>
      </c>
      <c r="L158" s="4">
        <v>4.4095319865224164E-2</v>
      </c>
      <c r="M158" s="4">
        <v>0</v>
      </c>
      <c r="N158" s="4">
        <v>0</v>
      </c>
    </row>
    <row r="159" spans="1:14">
      <c r="A159" s="8">
        <v>40023</v>
      </c>
      <c r="B159" s="4">
        <v>17.600000000000001</v>
      </c>
      <c r="C159" s="4">
        <v>9.4499999999999993</v>
      </c>
      <c r="D159" s="4">
        <v>1.75</v>
      </c>
      <c r="E159" s="4">
        <v>5.0999999999999996</v>
      </c>
      <c r="F159" s="4">
        <v>6.75</v>
      </c>
      <c r="G159" s="4">
        <v>13.7</v>
      </c>
      <c r="I159" s="4">
        <v>-1.6901810802603025E-2</v>
      </c>
      <c r="J159" s="4">
        <v>-3.6367644170874951E-2</v>
      </c>
      <c r="K159" s="4">
        <v>2.3122417420854212E-2</v>
      </c>
      <c r="L159" s="4">
        <v>0</v>
      </c>
      <c r="M159" s="4">
        <v>-1.4706147389695449E-2</v>
      </c>
      <c r="N159" s="4">
        <v>0</v>
      </c>
    </row>
    <row r="160" spans="1:14">
      <c r="A160" s="8">
        <v>40024</v>
      </c>
      <c r="B160" s="4">
        <v>17.600000000000001</v>
      </c>
      <c r="C160" s="4">
        <v>9.6</v>
      </c>
      <c r="D160" s="4">
        <v>1.85</v>
      </c>
      <c r="E160" s="4">
        <v>5.15</v>
      </c>
      <c r="F160" s="4">
        <v>7.2</v>
      </c>
      <c r="G160" s="4">
        <v>13.8</v>
      </c>
      <c r="I160" s="4">
        <v>0</v>
      </c>
      <c r="J160" s="4">
        <v>1.5748356968139112E-2</v>
      </c>
      <c r="K160" s="4">
        <v>5.5569851154810786E-2</v>
      </c>
      <c r="L160" s="4">
        <v>9.7561749453648743E-3</v>
      </c>
      <c r="M160" s="4">
        <v>6.4538521137571164E-2</v>
      </c>
      <c r="N160" s="4">
        <v>7.2727593290798781E-3</v>
      </c>
    </row>
    <row r="161" spans="1:14">
      <c r="A161" s="8">
        <v>40025</v>
      </c>
      <c r="B161" s="4">
        <v>18</v>
      </c>
      <c r="C161" s="4">
        <v>9.6</v>
      </c>
      <c r="D161" s="4">
        <v>1.79</v>
      </c>
      <c r="E161" s="4">
        <v>5.25</v>
      </c>
      <c r="F161" s="4">
        <v>7.1</v>
      </c>
      <c r="G161" s="4">
        <v>13.8</v>
      </c>
      <c r="I161" s="4">
        <v>2.2472855852058576E-2</v>
      </c>
      <c r="J161" s="4">
        <v>0</v>
      </c>
      <c r="K161" s="4">
        <v>-3.2970019237569828E-2</v>
      </c>
      <c r="L161" s="4">
        <v>1.9231361927887592E-2</v>
      </c>
      <c r="M161" s="4">
        <v>-1.3986241974739952E-2</v>
      </c>
      <c r="N161" s="4">
        <v>0</v>
      </c>
    </row>
    <row r="162" spans="1:14">
      <c r="A162" s="8">
        <v>40028</v>
      </c>
      <c r="B162" s="4">
        <v>18.8</v>
      </c>
      <c r="C162" s="4">
        <v>9.8000000000000007</v>
      </c>
      <c r="D162" s="4">
        <v>1.81</v>
      </c>
      <c r="E162" s="4">
        <v>5.25</v>
      </c>
      <c r="F162" s="4">
        <v>7.35</v>
      </c>
      <c r="G162" s="4">
        <v>14</v>
      </c>
      <c r="I162" s="4">
        <v>4.3485111939738891E-2</v>
      </c>
      <c r="J162" s="4">
        <v>2.0619287202735825E-2</v>
      </c>
      <c r="K162" s="4">
        <v>1.1111225425070849E-2</v>
      </c>
      <c r="L162" s="4">
        <v>0</v>
      </c>
      <c r="M162" s="4">
        <v>3.4605529177475523E-2</v>
      </c>
      <c r="N162" s="4">
        <v>1.4388737452099452E-2</v>
      </c>
    </row>
    <row r="163" spans="1:14">
      <c r="A163" s="8">
        <v>40029</v>
      </c>
      <c r="B163" s="4">
        <v>18.399999999999999</v>
      </c>
      <c r="C163" s="4">
        <v>9.8000000000000007</v>
      </c>
      <c r="D163" s="4">
        <v>1.8</v>
      </c>
      <c r="E163" s="4">
        <v>5.25</v>
      </c>
      <c r="F163" s="4">
        <v>7.1</v>
      </c>
      <c r="G163" s="4">
        <v>13.8</v>
      </c>
      <c r="I163" s="4">
        <v>-2.150620522096373E-2</v>
      </c>
      <c r="J163" s="4">
        <v>0</v>
      </c>
      <c r="K163" s="4">
        <v>-5.5401803756153561E-3</v>
      </c>
      <c r="L163" s="4">
        <v>0</v>
      </c>
      <c r="M163" s="4">
        <v>-3.4605529177475607E-2</v>
      </c>
      <c r="N163" s="4">
        <v>-1.4388737452099556E-2</v>
      </c>
    </row>
    <row r="164" spans="1:14">
      <c r="A164" s="8">
        <v>40030</v>
      </c>
      <c r="B164" s="4">
        <v>18.399999999999999</v>
      </c>
      <c r="C164" s="4">
        <v>9.6999999999999993</v>
      </c>
      <c r="D164" s="4">
        <v>1.78</v>
      </c>
      <c r="E164" s="4">
        <v>5.2</v>
      </c>
      <c r="F164" s="4">
        <v>6.9</v>
      </c>
      <c r="G164" s="4">
        <v>13.6</v>
      </c>
      <c r="I164" s="4">
        <v>0</v>
      </c>
      <c r="J164" s="4">
        <v>-1.0256500167189221E-2</v>
      </c>
      <c r="K164" s="4">
        <v>-1.1173300598125189E-2</v>
      </c>
      <c r="L164" s="4">
        <v>-9.5694510161506725E-3</v>
      </c>
      <c r="M164" s="4">
        <v>-2.8573372444055885E-2</v>
      </c>
      <c r="N164" s="4">
        <v>-1.4598799421152749E-2</v>
      </c>
    </row>
    <row r="165" spans="1:14">
      <c r="A165" s="8">
        <v>40031</v>
      </c>
      <c r="B165" s="4">
        <v>18.5</v>
      </c>
      <c r="C165" s="4">
        <v>9.65</v>
      </c>
      <c r="D165" s="4">
        <v>1.81</v>
      </c>
      <c r="E165" s="4">
        <v>5.45</v>
      </c>
      <c r="F165" s="4">
        <v>7</v>
      </c>
      <c r="G165" s="4">
        <v>13.8</v>
      </c>
      <c r="I165" s="4">
        <v>5.4200674693393345E-3</v>
      </c>
      <c r="J165" s="4">
        <v>-5.1679701584424493E-3</v>
      </c>
      <c r="K165" s="4">
        <v>1.6713480973740532E-2</v>
      </c>
      <c r="L165" s="4">
        <v>4.6956983087771083E-2</v>
      </c>
      <c r="M165" s="4">
        <v>1.4388737452099452E-2</v>
      </c>
      <c r="N165" s="4">
        <v>1.4598799421152851E-2</v>
      </c>
    </row>
    <row r="166" spans="1:14">
      <c r="A166" s="8">
        <v>40032</v>
      </c>
      <c r="B166" s="4">
        <v>19.5</v>
      </c>
      <c r="C166" s="4">
        <v>9.6</v>
      </c>
      <c r="D166" s="4">
        <v>1.79</v>
      </c>
      <c r="E166" s="4">
        <v>5.55</v>
      </c>
      <c r="F166" s="4">
        <v>6.9</v>
      </c>
      <c r="G166" s="4">
        <v>13.8</v>
      </c>
      <c r="I166" s="4">
        <v>5.2643733485421881E-2</v>
      </c>
      <c r="J166" s="4">
        <v>-5.1948168771040228E-3</v>
      </c>
      <c r="K166" s="4">
        <v>-1.1111225425070722E-2</v>
      </c>
      <c r="L166" s="4">
        <v>1.8182319083190328E-2</v>
      </c>
      <c r="M166" s="4">
        <v>-1.4388737452099556E-2</v>
      </c>
      <c r="N166" s="4">
        <v>0</v>
      </c>
    </row>
    <row r="167" spans="1:14">
      <c r="A167" s="8">
        <v>40035</v>
      </c>
      <c r="B167" s="4">
        <v>20.6</v>
      </c>
      <c r="C167" s="4">
        <v>9.75</v>
      </c>
      <c r="D167" s="4">
        <v>1.76</v>
      </c>
      <c r="E167" s="4">
        <v>5.75</v>
      </c>
      <c r="F167" s="4">
        <v>6.85</v>
      </c>
      <c r="G167" s="4">
        <v>13.7</v>
      </c>
      <c r="I167" s="4">
        <v>5.4876610225834302E-2</v>
      </c>
      <c r="J167" s="4">
        <v>1.5504186535965254E-2</v>
      </c>
      <c r="K167" s="4">
        <v>-1.6901810802603254E-2</v>
      </c>
      <c r="L167" s="4">
        <v>3.5401927050916E-2</v>
      </c>
      <c r="M167" s="4">
        <v>-7.2727593290799206E-3</v>
      </c>
      <c r="N167" s="4">
        <v>-7.2727593290799206E-3</v>
      </c>
    </row>
    <row r="168" spans="1:14">
      <c r="A168" s="8">
        <v>40036</v>
      </c>
      <c r="B168" s="4">
        <v>21.4</v>
      </c>
      <c r="C168" s="4">
        <v>9.9499999999999993</v>
      </c>
      <c r="D168" s="4">
        <v>1.78</v>
      </c>
      <c r="E168" s="4">
        <v>5.7</v>
      </c>
      <c r="F168" s="4">
        <v>7</v>
      </c>
      <c r="G168" s="4">
        <v>14.2</v>
      </c>
      <c r="I168" s="4">
        <v>3.8099846232270175E-2</v>
      </c>
      <c r="J168" s="4">
        <v>2.0305266160745523E-2</v>
      </c>
      <c r="K168" s="4">
        <v>1.1299555253933466E-2</v>
      </c>
      <c r="L168" s="4">
        <v>-8.7336799687545534E-3</v>
      </c>
      <c r="M168" s="4">
        <v>2.1661496781179467E-2</v>
      </c>
      <c r="N168" s="4">
        <v>3.5846131773135878E-2</v>
      </c>
    </row>
    <row r="169" spans="1:14">
      <c r="A169" s="8">
        <v>40038</v>
      </c>
      <c r="B169" s="4">
        <v>22</v>
      </c>
      <c r="C169" s="4">
        <v>10.1</v>
      </c>
      <c r="D169" s="4">
        <v>1.81</v>
      </c>
      <c r="E169" s="4">
        <v>5.9</v>
      </c>
      <c r="F169" s="4">
        <v>7.35</v>
      </c>
      <c r="G169" s="4">
        <v>14.4</v>
      </c>
      <c r="I169" s="4">
        <v>2.7651531330510164E-2</v>
      </c>
      <c r="J169" s="4">
        <v>1.496287267671232E-2</v>
      </c>
      <c r="K169" s="4">
        <v>1.6713480973740532E-2</v>
      </c>
      <c r="L169" s="4">
        <v>3.4486176071169404E-2</v>
      </c>
      <c r="M169" s="4">
        <v>4.8790164169432049E-2</v>
      </c>
      <c r="N169" s="4">
        <v>1.398624197473987E-2</v>
      </c>
    </row>
    <row r="170" spans="1:14">
      <c r="A170" s="8">
        <v>40039</v>
      </c>
      <c r="B170" s="4">
        <v>21.8</v>
      </c>
      <c r="C170" s="4">
        <v>10.5</v>
      </c>
      <c r="D170" s="4">
        <v>1.79</v>
      </c>
      <c r="E170" s="4">
        <v>5.95</v>
      </c>
      <c r="F170" s="4">
        <v>7.65</v>
      </c>
      <c r="G170" s="4">
        <v>14.4</v>
      </c>
      <c r="I170" s="4">
        <v>-9.1324835632724741E-3</v>
      </c>
      <c r="J170" s="4">
        <v>3.8839833316263957E-2</v>
      </c>
      <c r="K170" s="4">
        <v>-1.1111225425070722E-2</v>
      </c>
      <c r="L170" s="4">
        <v>8.4388686458646035E-3</v>
      </c>
      <c r="M170" s="4">
        <v>4.0005334613699206E-2</v>
      </c>
      <c r="N170" s="4">
        <v>0</v>
      </c>
    </row>
    <row r="171" spans="1:14">
      <c r="A171" s="8">
        <v>40042</v>
      </c>
      <c r="B171" s="4">
        <v>21</v>
      </c>
      <c r="C171" s="4">
        <v>9.9</v>
      </c>
      <c r="D171" s="4">
        <v>1.72</v>
      </c>
      <c r="E171" s="4">
        <v>5.7</v>
      </c>
      <c r="F171" s="4">
        <v>7.2</v>
      </c>
      <c r="G171" s="4">
        <v>14</v>
      </c>
      <c r="I171" s="4">
        <v>-3.7387532071620329E-2</v>
      </c>
      <c r="J171" s="4">
        <v>-5.8840500022933465E-2</v>
      </c>
      <c r="K171" s="4">
        <v>-3.9891329027301969E-2</v>
      </c>
      <c r="L171" s="4">
        <v>-4.2925044717033886E-2</v>
      </c>
      <c r="M171" s="4">
        <v>-6.0624621816434854E-2</v>
      </c>
      <c r="N171" s="4">
        <v>-2.8170876966696335E-2</v>
      </c>
    </row>
    <row r="172" spans="1:14">
      <c r="A172" s="8">
        <v>40043</v>
      </c>
      <c r="B172" s="4">
        <v>21.3</v>
      </c>
      <c r="C172" s="4">
        <v>9.9</v>
      </c>
      <c r="D172" s="4">
        <v>1.75</v>
      </c>
      <c r="E172" s="4">
        <v>5.9</v>
      </c>
      <c r="F172" s="4">
        <v>7.45</v>
      </c>
      <c r="G172" s="4">
        <v>14.2</v>
      </c>
      <c r="I172" s="4">
        <v>1.4184634991956381E-2</v>
      </c>
      <c r="J172" s="4">
        <v>0</v>
      </c>
      <c r="K172" s="4">
        <v>1.7291497110061043E-2</v>
      </c>
      <c r="L172" s="4">
        <v>3.4486176071169404E-2</v>
      </c>
      <c r="M172" s="4">
        <v>3.4133006369458617E-2</v>
      </c>
      <c r="N172" s="4">
        <v>1.4184634991956381E-2</v>
      </c>
    </row>
    <row r="173" spans="1:14">
      <c r="A173" s="8">
        <v>40044</v>
      </c>
      <c r="B173" s="4">
        <v>20.6</v>
      </c>
      <c r="C173" s="4">
        <v>9.6</v>
      </c>
      <c r="D173" s="4">
        <v>1.81</v>
      </c>
      <c r="E173" s="4">
        <v>5.8</v>
      </c>
      <c r="F173" s="4">
        <v>7.15</v>
      </c>
      <c r="G173" s="4">
        <v>14.1</v>
      </c>
      <c r="I173" s="4">
        <v>-3.3415996919843947E-2</v>
      </c>
      <c r="J173" s="4">
        <v>-3.0771658666753774E-2</v>
      </c>
      <c r="K173" s="4">
        <v>3.3711057342311661E-2</v>
      </c>
      <c r="L173" s="4">
        <v>-1.7094433359300183E-2</v>
      </c>
      <c r="M173" s="4">
        <v>-4.11016756855518E-2</v>
      </c>
      <c r="N173" s="4">
        <v>-7.067167223092443E-3</v>
      </c>
    </row>
    <row r="174" spans="1:14">
      <c r="A174" s="8">
        <v>40045</v>
      </c>
      <c r="B174" s="4">
        <v>20.7</v>
      </c>
      <c r="C174" s="4">
        <v>9.85</v>
      </c>
      <c r="D174" s="4">
        <v>1.86</v>
      </c>
      <c r="E174" s="4">
        <v>5.7</v>
      </c>
      <c r="F174" s="4">
        <v>7.4</v>
      </c>
      <c r="G174" s="4">
        <v>14.1</v>
      </c>
      <c r="I174" s="4">
        <v>4.8426244757879908E-3</v>
      </c>
      <c r="J174" s="4">
        <v>2.570835671020703E-2</v>
      </c>
      <c r="K174" s="4">
        <v>2.724964244737554E-2</v>
      </c>
      <c r="L174" s="4">
        <v>-1.7391742711869107E-2</v>
      </c>
      <c r="M174" s="4">
        <v>3.4367643504207818E-2</v>
      </c>
      <c r="N174" s="4">
        <v>0</v>
      </c>
    </row>
    <row r="175" spans="1:14">
      <c r="A175" s="8">
        <v>40046</v>
      </c>
      <c r="B175" s="4">
        <v>21</v>
      </c>
      <c r="C175" s="4">
        <v>10.1</v>
      </c>
      <c r="D175" s="4">
        <v>1.99</v>
      </c>
      <c r="E175" s="4">
        <v>5.6</v>
      </c>
      <c r="F175" s="4">
        <v>7.35</v>
      </c>
      <c r="G175" s="4">
        <v>14.1</v>
      </c>
      <c r="I175" s="4">
        <v>1.4388737452099671E-2</v>
      </c>
      <c r="J175" s="4">
        <v>2.506396866321622E-2</v>
      </c>
      <c r="K175" s="4">
        <v>6.755815101129109E-2</v>
      </c>
      <c r="L175" s="4">
        <v>-1.7699577099400975E-2</v>
      </c>
      <c r="M175" s="4">
        <v>-6.7796869853788038E-3</v>
      </c>
      <c r="N175" s="4">
        <v>0</v>
      </c>
    </row>
    <row r="176" spans="1:14">
      <c r="A176" s="8">
        <v>40049</v>
      </c>
      <c r="B176" s="4">
        <v>20.9</v>
      </c>
      <c r="C176" s="4">
        <v>10.7</v>
      </c>
      <c r="D176" s="4">
        <v>1.97</v>
      </c>
      <c r="E176" s="4">
        <v>5.65</v>
      </c>
      <c r="F176" s="4">
        <v>7.5</v>
      </c>
      <c r="G176" s="4">
        <v>14.2</v>
      </c>
      <c r="I176" s="4">
        <v>-4.7732787526577709E-3</v>
      </c>
      <c r="J176" s="4">
        <v>5.7708317620646772E-2</v>
      </c>
      <c r="K176" s="4">
        <v>-1.0101095986503933E-2</v>
      </c>
      <c r="L176" s="4">
        <v>8.8889474172462145E-3</v>
      </c>
      <c r="M176" s="4">
        <v>2.0202707317519469E-2</v>
      </c>
      <c r="N176" s="4">
        <v>7.0671672230923528E-3</v>
      </c>
    </row>
    <row r="177" spans="1:14">
      <c r="A177" s="8">
        <v>40050</v>
      </c>
      <c r="B177" s="4">
        <v>21.2</v>
      </c>
      <c r="C177" s="4">
        <v>10.4</v>
      </c>
      <c r="D177" s="4">
        <v>2.08</v>
      </c>
      <c r="E177" s="4">
        <v>5.8</v>
      </c>
      <c r="F177" s="4">
        <v>7.8</v>
      </c>
      <c r="G177" s="4">
        <v>14.2</v>
      </c>
      <c r="I177" s="4">
        <v>1.4252022707201413E-2</v>
      </c>
      <c r="J177" s="4">
        <v>-2.8437935320533399E-2</v>
      </c>
      <c r="K177" s="4">
        <v>5.4334350963329517E-2</v>
      </c>
      <c r="L177" s="4">
        <v>2.6202372394023902E-2</v>
      </c>
      <c r="M177" s="4">
        <v>3.9220713153281329E-2</v>
      </c>
      <c r="N177" s="4">
        <v>0</v>
      </c>
    </row>
    <row r="178" spans="1:14">
      <c r="A178" s="8">
        <v>40051</v>
      </c>
      <c r="B178" s="4">
        <v>21</v>
      </c>
      <c r="C178" s="4">
        <v>10.6</v>
      </c>
      <c r="D178" s="4">
        <v>2.2200000000000002</v>
      </c>
      <c r="E178" s="4">
        <v>5.85</v>
      </c>
      <c r="F178" s="4">
        <v>7.9</v>
      </c>
      <c r="G178" s="4">
        <v>14.2</v>
      </c>
      <c r="I178" s="4">
        <v>-9.47874395454377E-3</v>
      </c>
      <c r="J178" s="4">
        <v>1.9048194970694411E-2</v>
      </c>
      <c r="K178" s="4">
        <v>6.5139302170961449E-2</v>
      </c>
      <c r="L178" s="4">
        <v>8.583743691391435E-3</v>
      </c>
      <c r="M178" s="4">
        <v>1.2739025777429932E-2</v>
      </c>
      <c r="N178" s="4">
        <v>0</v>
      </c>
    </row>
    <row r="179" spans="1:14">
      <c r="A179" s="8">
        <v>40052</v>
      </c>
      <c r="B179" s="4">
        <v>21.5</v>
      </c>
      <c r="C179" s="4">
        <v>10.199999999999999</v>
      </c>
      <c r="D179" s="4">
        <v>2.1</v>
      </c>
      <c r="E179" s="4">
        <v>5.85</v>
      </c>
      <c r="F179" s="4">
        <v>7.8</v>
      </c>
      <c r="G179" s="4">
        <v>14.6</v>
      </c>
      <c r="I179" s="4">
        <v>2.3530497410194036E-2</v>
      </c>
      <c r="J179" s="4">
        <v>-3.8466280827796052E-2</v>
      </c>
      <c r="K179" s="4">
        <v>-5.5569851154810765E-2</v>
      </c>
      <c r="L179" s="4">
        <v>0</v>
      </c>
      <c r="M179" s="4">
        <v>-1.2739025777429826E-2</v>
      </c>
      <c r="N179" s="4">
        <v>2.7779564107075671E-2</v>
      </c>
    </row>
    <row r="180" spans="1:14">
      <c r="A180" s="8">
        <v>40053</v>
      </c>
      <c r="B180" s="4">
        <v>21.6</v>
      </c>
      <c r="C180" s="4">
        <v>9.9</v>
      </c>
      <c r="D180" s="4">
        <v>2.16</v>
      </c>
      <c r="E180" s="4">
        <v>5.85</v>
      </c>
      <c r="F180" s="4">
        <v>7.8</v>
      </c>
      <c r="G180" s="4">
        <v>14.3</v>
      </c>
      <c r="I180" s="4">
        <v>4.6403795565023009E-3</v>
      </c>
      <c r="J180" s="4">
        <v>-2.9852963149681045E-2</v>
      </c>
      <c r="K180" s="4">
        <v>2.8170876966696439E-2</v>
      </c>
      <c r="L180" s="4">
        <v>0</v>
      </c>
      <c r="M180" s="4">
        <v>0</v>
      </c>
      <c r="N180" s="4">
        <v>-2.0761991448429128E-2</v>
      </c>
    </row>
    <row r="181" spans="1:14">
      <c r="A181" s="8">
        <v>40056</v>
      </c>
      <c r="B181" s="4">
        <v>21.6</v>
      </c>
      <c r="C181" s="4">
        <v>9.9</v>
      </c>
      <c r="D181" s="4">
        <v>2.2999999999999998</v>
      </c>
      <c r="E181" s="4">
        <v>6</v>
      </c>
      <c r="F181" s="4">
        <v>7.75</v>
      </c>
      <c r="G181" s="4">
        <v>14.7</v>
      </c>
      <c r="I181" s="4">
        <v>0</v>
      </c>
      <c r="J181" s="4">
        <v>0</v>
      </c>
      <c r="K181" s="4">
        <v>6.2800901239030232E-2</v>
      </c>
      <c r="L181" s="4">
        <v>2.5317807984290001E-2</v>
      </c>
      <c r="M181" s="4">
        <v>-6.4308903302904025E-3</v>
      </c>
      <c r="N181" s="4">
        <v>2.7587956518828963E-2</v>
      </c>
    </row>
    <row r="182" spans="1:14">
      <c r="A182" s="8">
        <v>40057</v>
      </c>
      <c r="B182" s="4">
        <v>21.8</v>
      </c>
      <c r="C182" s="4">
        <v>9.9499999999999993</v>
      </c>
      <c r="D182" s="4">
        <v>2.2799999999999998</v>
      </c>
      <c r="E182" s="4">
        <v>6.1</v>
      </c>
      <c r="F182" s="4">
        <v>7.75</v>
      </c>
      <c r="G182" s="4">
        <v>14.4</v>
      </c>
      <c r="I182" s="4">
        <v>9.2166551049240476E-3</v>
      </c>
      <c r="J182" s="4">
        <v>5.037794029957081E-3</v>
      </c>
      <c r="K182" s="4">
        <v>-8.7336799687546662E-3</v>
      </c>
      <c r="L182" s="4">
        <v>1.6529301951210506E-2</v>
      </c>
      <c r="M182" s="4">
        <v>0</v>
      </c>
      <c r="N182" s="4">
        <v>-2.0619287202735592E-2</v>
      </c>
    </row>
    <row r="183" spans="1:14">
      <c r="A183" s="8">
        <v>40058</v>
      </c>
      <c r="B183" s="4">
        <v>23.1</v>
      </c>
      <c r="C183" s="4">
        <v>10.199999999999999</v>
      </c>
      <c r="D183" s="4">
        <v>2.34</v>
      </c>
      <c r="E183" s="4">
        <v>6.3</v>
      </c>
      <c r="F183" s="4">
        <v>7.8</v>
      </c>
      <c r="G183" s="4">
        <v>14.8</v>
      </c>
      <c r="I183" s="4">
        <v>5.7922647732704509E-2</v>
      </c>
      <c r="J183" s="4">
        <v>2.4815169119723993E-2</v>
      </c>
      <c r="K183" s="4">
        <v>2.5975486403260736E-2</v>
      </c>
      <c r="L183" s="4">
        <v>3.2260862218221477E-2</v>
      </c>
      <c r="M183" s="4">
        <v>6.4308903302903314E-3</v>
      </c>
      <c r="N183" s="4">
        <v>2.7398974188114562E-2</v>
      </c>
    </row>
    <row r="184" spans="1:14">
      <c r="A184" s="8">
        <v>40059</v>
      </c>
      <c r="B184" s="4">
        <v>23.5</v>
      </c>
      <c r="C184" s="4">
        <v>10.6</v>
      </c>
      <c r="D184" s="4">
        <v>2.2999999999999998</v>
      </c>
      <c r="E184" s="4">
        <v>6.6</v>
      </c>
      <c r="F184" s="4">
        <v>8</v>
      </c>
      <c r="G184" s="4">
        <v>15.8</v>
      </c>
      <c r="I184" s="4">
        <v>1.716780362236528E-2</v>
      </c>
      <c r="J184" s="4">
        <v>3.8466280827796143E-2</v>
      </c>
      <c r="K184" s="4">
        <v>-1.7241806434506103E-2</v>
      </c>
      <c r="L184" s="4">
        <v>4.6520015634892907E-2</v>
      </c>
      <c r="M184" s="4">
        <v>2.5317807984290001E-2</v>
      </c>
      <c r="N184" s="4">
        <v>6.5382759262851711E-2</v>
      </c>
    </row>
    <row r="185" spans="1:14">
      <c r="A185" s="8">
        <v>40060</v>
      </c>
      <c r="B185" s="4">
        <v>21.3</v>
      </c>
      <c r="C185" s="4">
        <v>10.4</v>
      </c>
      <c r="D185" s="4">
        <v>2.2200000000000002</v>
      </c>
      <c r="E185" s="4">
        <v>6.5</v>
      </c>
      <c r="F185" s="4">
        <v>8.1</v>
      </c>
      <c r="G185" s="4">
        <v>15.9</v>
      </c>
      <c r="I185" s="4">
        <v>-9.8293348434733877E-2</v>
      </c>
      <c r="J185" s="4">
        <v>-1.9048194970694363E-2</v>
      </c>
      <c r="K185" s="4">
        <v>-3.5401927050915723E-2</v>
      </c>
      <c r="L185" s="4">
        <v>-1.5267472130788421E-2</v>
      </c>
      <c r="M185" s="4">
        <v>1.242251999855711E-2</v>
      </c>
      <c r="N185" s="4">
        <v>6.3091691932647556E-3</v>
      </c>
    </row>
    <row r="186" spans="1:14">
      <c r="A186" s="8">
        <v>40063</v>
      </c>
      <c r="B186" s="4">
        <v>22.5</v>
      </c>
      <c r="C186" s="4">
        <v>10.8</v>
      </c>
      <c r="D186" s="4">
        <v>2.2999999999999998</v>
      </c>
      <c r="E186" s="4">
        <v>6.7</v>
      </c>
      <c r="F186" s="4">
        <v>8.1999999999999993</v>
      </c>
      <c r="G186" s="4">
        <v>16.3</v>
      </c>
      <c r="I186" s="4">
        <v>5.4808236494994951E-2</v>
      </c>
      <c r="J186" s="4">
        <v>3.7740327982847113E-2</v>
      </c>
      <c r="K186" s="4">
        <v>3.5401927050915792E-2</v>
      </c>
      <c r="L186" s="4">
        <v>3.0305349495329058E-2</v>
      </c>
      <c r="M186" s="4">
        <v>1.2270092591814401E-2</v>
      </c>
      <c r="N186" s="4">
        <v>2.4845998586530804E-2</v>
      </c>
    </row>
    <row r="187" spans="1:14">
      <c r="A187" s="8">
        <v>40064</v>
      </c>
      <c r="B187" s="4">
        <v>22.2</v>
      </c>
      <c r="C187" s="4">
        <v>10.6</v>
      </c>
      <c r="D187" s="4">
        <v>2.2799999999999998</v>
      </c>
      <c r="E187" s="4">
        <v>6.65</v>
      </c>
      <c r="F187" s="4">
        <v>8.6999999999999993</v>
      </c>
      <c r="G187" s="4">
        <v>16.3</v>
      </c>
      <c r="I187" s="4">
        <v>-1.3423020332140774E-2</v>
      </c>
      <c r="J187" s="4">
        <v>-1.8692133012152633E-2</v>
      </c>
      <c r="K187" s="4">
        <v>-8.7336799687546662E-3</v>
      </c>
      <c r="L187" s="4">
        <v>-7.4906717291576257E-3</v>
      </c>
      <c r="M187" s="4">
        <v>5.9188871390330654E-2</v>
      </c>
      <c r="N187" s="4">
        <v>0</v>
      </c>
    </row>
    <row r="188" spans="1:14">
      <c r="A188" s="8">
        <v>40065</v>
      </c>
      <c r="B188" s="4">
        <v>22.1</v>
      </c>
      <c r="C188" s="4">
        <v>10.6</v>
      </c>
      <c r="D188" s="4">
        <v>2.2599999999999998</v>
      </c>
      <c r="E188" s="4">
        <v>6.5</v>
      </c>
      <c r="F188" s="4">
        <v>9</v>
      </c>
      <c r="G188" s="4">
        <v>16.2</v>
      </c>
      <c r="I188" s="4">
        <v>-4.5146803545265827E-3</v>
      </c>
      <c r="J188" s="4">
        <v>0</v>
      </c>
      <c r="K188" s="4">
        <v>-8.8106296821549197E-3</v>
      </c>
      <c r="L188" s="4">
        <v>-2.2814677766171399E-2</v>
      </c>
      <c r="M188" s="4">
        <v>3.3901551675681416E-2</v>
      </c>
      <c r="N188" s="4">
        <v>-6.1538655743783354E-3</v>
      </c>
    </row>
    <row r="189" spans="1:14">
      <c r="A189" s="8">
        <v>40066</v>
      </c>
      <c r="B189" s="4">
        <v>22.1</v>
      </c>
      <c r="C189" s="4">
        <v>10.9</v>
      </c>
      <c r="D189" s="4">
        <v>2.2599999999999998</v>
      </c>
      <c r="E189" s="4">
        <v>6.5</v>
      </c>
      <c r="F189" s="4">
        <v>8.9</v>
      </c>
      <c r="G189" s="4">
        <v>16.2</v>
      </c>
      <c r="I189" s="4">
        <v>0</v>
      </c>
      <c r="J189" s="4">
        <v>2.7908788117076658E-2</v>
      </c>
      <c r="K189" s="4">
        <v>0</v>
      </c>
      <c r="L189" s="4">
        <v>0</v>
      </c>
      <c r="M189" s="4">
        <v>-1.1173300598125189E-2</v>
      </c>
      <c r="N189" s="4">
        <v>0</v>
      </c>
    </row>
    <row r="190" spans="1:14">
      <c r="A190" s="8">
        <v>40067</v>
      </c>
      <c r="B190" s="4">
        <v>22.1</v>
      </c>
      <c r="C190" s="4">
        <v>10.9</v>
      </c>
      <c r="D190" s="4">
        <v>2.2999999999999998</v>
      </c>
      <c r="E190" s="4">
        <v>6.75</v>
      </c>
      <c r="F190" s="4">
        <v>9.1</v>
      </c>
      <c r="G190" s="4">
        <v>16.399999999999999</v>
      </c>
      <c r="I190" s="4">
        <v>0</v>
      </c>
      <c r="J190" s="4">
        <v>0</v>
      </c>
      <c r="K190" s="4">
        <v>1.7544309650909525E-2</v>
      </c>
      <c r="L190" s="4">
        <v>3.7740327982847113E-2</v>
      </c>
      <c r="M190" s="4">
        <v>2.2223136784710041E-2</v>
      </c>
      <c r="N190" s="4">
        <v>1.2270092591814401E-2</v>
      </c>
    </row>
    <row r="191" spans="1:14">
      <c r="A191" s="8">
        <v>40070</v>
      </c>
      <c r="B191" s="4">
        <v>22</v>
      </c>
      <c r="C191" s="4">
        <v>10.4</v>
      </c>
      <c r="D191" s="4">
        <v>2.36</v>
      </c>
      <c r="E191" s="4">
        <v>6.85</v>
      </c>
      <c r="F191" s="4">
        <v>8.9</v>
      </c>
      <c r="G191" s="4">
        <v>16.2</v>
      </c>
      <c r="I191" s="4">
        <v>-4.5351551653913741E-3</v>
      </c>
      <c r="J191" s="4">
        <v>-4.6956983087770979E-2</v>
      </c>
      <c r="K191" s="4">
        <v>2.5752496102414764E-2</v>
      </c>
      <c r="L191" s="4">
        <v>1.4706147389695487E-2</v>
      </c>
      <c r="M191" s="4">
        <v>-2.2223136784710124E-2</v>
      </c>
      <c r="N191" s="4">
        <v>-1.2270092591814359E-2</v>
      </c>
    </row>
    <row r="192" spans="1:14">
      <c r="A192" s="8">
        <v>40071</v>
      </c>
      <c r="B192" s="4">
        <v>21.8</v>
      </c>
      <c r="C192" s="4">
        <v>10.9</v>
      </c>
      <c r="D192" s="4">
        <v>2.8</v>
      </c>
      <c r="E192" s="4">
        <v>6.9</v>
      </c>
      <c r="F192" s="4">
        <v>9.1</v>
      </c>
      <c r="G192" s="4">
        <v>16.100000000000001</v>
      </c>
      <c r="I192" s="4">
        <v>-9.1324835632724741E-3</v>
      </c>
      <c r="J192" s="4">
        <v>4.6956983087771083E-2</v>
      </c>
      <c r="K192" s="4">
        <v>0.17095779814363948</v>
      </c>
      <c r="L192" s="4">
        <v>7.2727593290798781E-3</v>
      </c>
      <c r="M192" s="4">
        <v>2.2223136784710041E-2</v>
      </c>
      <c r="N192" s="4">
        <v>-6.1919702479209951E-3</v>
      </c>
    </row>
    <row r="193" spans="1:14">
      <c r="A193" s="8">
        <v>40072</v>
      </c>
      <c r="B193" s="4">
        <v>22.1</v>
      </c>
      <c r="C193" s="4">
        <v>11</v>
      </c>
      <c r="D193" s="4">
        <v>2.84</v>
      </c>
      <c r="E193" s="4">
        <v>7.05</v>
      </c>
      <c r="F193" s="4">
        <v>9.8000000000000007</v>
      </c>
      <c r="G193" s="4">
        <v>16.3</v>
      </c>
      <c r="I193" s="4">
        <v>1.3667638728663835E-2</v>
      </c>
      <c r="J193" s="4">
        <v>9.1324835632724723E-3</v>
      </c>
      <c r="K193" s="4">
        <v>1.4184634991956381E-2</v>
      </c>
      <c r="L193" s="4">
        <v>2.1506205220963463E-2</v>
      </c>
      <c r="M193" s="4">
        <v>7.4107972153722043E-2</v>
      </c>
      <c r="N193" s="4">
        <v>1.2345835822299362E-2</v>
      </c>
    </row>
    <row r="194" spans="1:14">
      <c r="A194" s="8">
        <v>40073</v>
      </c>
      <c r="B194" s="4">
        <v>21.9</v>
      </c>
      <c r="C194" s="4">
        <v>11.6</v>
      </c>
      <c r="D194" s="4">
        <v>2.78</v>
      </c>
      <c r="E194" s="4">
        <v>6.95</v>
      </c>
      <c r="F194" s="4">
        <v>9.6999999999999993</v>
      </c>
      <c r="G194" s="4">
        <v>16.100000000000001</v>
      </c>
      <c r="I194" s="4">
        <v>-9.0909717012520753E-3</v>
      </c>
      <c r="J194" s="4">
        <v>5.3109825313948332E-2</v>
      </c>
      <c r="K194" s="4">
        <v>-2.1353124470568946E-2</v>
      </c>
      <c r="L194" s="4">
        <v>-1.4285957247476428E-2</v>
      </c>
      <c r="M194" s="4">
        <v>-1.0256500167189221E-2</v>
      </c>
      <c r="N194" s="4">
        <v>-1.2345835822299266E-2</v>
      </c>
    </row>
    <row r="195" spans="1:14">
      <c r="A195" s="8">
        <v>40074</v>
      </c>
      <c r="B195" s="4">
        <v>22.4</v>
      </c>
      <c r="C195" s="4">
        <v>11.6</v>
      </c>
      <c r="D195" s="4">
        <v>2.8</v>
      </c>
      <c r="E195" s="4">
        <v>7</v>
      </c>
      <c r="F195" s="4">
        <v>10.5</v>
      </c>
      <c r="G195" s="4">
        <v>16.2</v>
      </c>
      <c r="I195" s="4">
        <v>2.2574322038538975E-2</v>
      </c>
      <c r="J195" s="4">
        <v>0</v>
      </c>
      <c r="K195" s="4">
        <v>7.168489478612497E-3</v>
      </c>
      <c r="L195" s="4">
        <v>7.168489478612497E-3</v>
      </c>
      <c r="M195" s="4">
        <v>7.9249371654140685E-2</v>
      </c>
      <c r="N195" s="4">
        <v>6.1919702479209804E-3</v>
      </c>
    </row>
    <row r="196" spans="1:14">
      <c r="A196" s="8">
        <v>40077</v>
      </c>
      <c r="B196" s="4">
        <v>22.2</v>
      </c>
      <c r="C196" s="4">
        <v>12.1</v>
      </c>
      <c r="D196" s="4">
        <v>2.9</v>
      </c>
      <c r="E196" s="4">
        <v>7.05</v>
      </c>
      <c r="F196" s="4">
        <v>11.4</v>
      </c>
      <c r="G196" s="4">
        <v>16.2</v>
      </c>
      <c r="I196" s="4">
        <v>-8.9686699827603751E-3</v>
      </c>
      <c r="J196" s="4">
        <v>4.2200354490376471E-2</v>
      </c>
      <c r="K196" s="4">
        <v>3.5091319811270193E-2</v>
      </c>
      <c r="L196" s="4">
        <v>7.1174677688639549E-3</v>
      </c>
      <c r="M196" s="4">
        <v>8.2238098236972215E-2</v>
      </c>
      <c r="N196" s="4">
        <v>0</v>
      </c>
    </row>
    <row r="197" spans="1:14">
      <c r="A197" s="8">
        <v>40078</v>
      </c>
      <c r="B197" s="4">
        <v>22.2</v>
      </c>
      <c r="C197" s="4">
        <v>12.4</v>
      </c>
      <c r="D197" s="4">
        <v>2.94</v>
      </c>
      <c r="E197" s="4">
        <v>7.2</v>
      </c>
      <c r="F197" s="4">
        <v>11.4</v>
      </c>
      <c r="G197" s="4">
        <v>16.399999999999999</v>
      </c>
      <c r="I197" s="4">
        <v>0</v>
      </c>
      <c r="J197" s="4">
        <v>2.4491020008295911E-2</v>
      </c>
      <c r="K197" s="4">
        <v>1.3698844358161927E-2</v>
      </c>
      <c r="L197" s="4">
        <v>2.1053409197832482E-2</v>
      </c>
      <c r="M197" s="4">
        <v>0</v>
      </c>
      <c r="N197" s="4">
        <v>1.2270092591814401E-2</v>
      </c>
    </row>
    <row r="198" spans="1:14">
      <c r="A198" s="8">
        <v>40079</v>
      </c>
      <c r="B198" s="4">
        <v>22</v>
      </c>
      <c r="C198" s="4">
        <v>12.5</v>
      </c>
      <c r="D198" s="4">
        <v>3.06</v>
      </c>
      <c r="E198" s="4">
        <v>7.3</v>
      </c>
      <c r="F198" s="4">
        <v>11.2</v>
      </c>
      <c r="G198" s="4">
        <v>17</v>
      </c>
      <c r="I198" s="4">
        <v>-9.0498355199179273E-3</v>
      </c>
      <c r="J198" s="4">
        <v>8.0321716972642527E-3</v>
      </c>
      <c r="K198" s="4">
        <v>4.0005334613699206E-2</v>
      </c>
      <c r="L198" s="4">
        <v>1.3793322132335769E-2</v>
      </c>
      <c r="M198" s="4">
        <v>-1.7699577099400975E-2</v>
      </c>
      <c r="N198" s="4">
        <v>3.593200922606337E-2</v>
      </c>
    </row>
    <row r="199" spans="1:14">
      <c r="A199" s="8">
        <v>40080</v>
      </c>
      <c r="B199" s="4">
        <v>22.1</v>
      </c>
      <c r="C199" s="4">
        <v>12.6</v>
      </c>
      <c r="D199" s="4">
        <v>3.14</v>
      </c>
      <c r="E199" s="4">
        <v>7.2</v>
      </c>
      <c r="F199" s="4">
        <v>11.3</v>
      </c>
      <c r="G199" s="4">
        <v>17</v>
      </c>
      <c r="I199" s="4">
        <v>4.5351551653913628E-3</v>
      </c>
      <c r="J199" s="4">
        <v>7.9681696491768813E-3</v>
      </c>
      <c r="K199" s="4">
        <v>2.5807883955872721E-2</v>
      </c>
      <c r="L199" s="4">
        <v>-1.3793322132335761E-2</v>
      </c>
      <c r="M199" s="4">
        <v>8.8889474172462145E-3</v>
      </c>
      <c r="N199" s="4">
        <v>0</v>
      </c>
    </row>
    <row r="200" spans="1:14">
      <c r="A200" s="8">
        <v>40081</v>
      </c>
      <c r="B200" s="4">
        <v>22</v>
      </c>
      <c r="C200" s="4">
        <v>12.3</v>
      </c>
      <c r="D200" s="4">
        <v>3.14</v>
      </c>
      <c r="E200" s="4">
        <v>7.5</v>
      </c>
      <c r="F200" s="4">
        <v>11.1</v>
      </c>
      <c r="G200" s="4">
        <v>17.100000000000001</v>
      </c>
      <c r="I200" s="4">
        <v>-4.5351551653913741E-3</v>
      </c>
      <c r="J200" s="4">
        <v>-2.4097551579060416E-2</v>
      </c>
      <c r="K200" s="4">
        <v>0</v>
      </c>
      <c r="L200" s="4">
        <v>4.08219945202552E-2</v>
      </c>
      <c r="M200" s="4">
        <v>-1.7857617400006572E-2</v>
      </c>
      <c r="N200" s="4">
        <v>5.8651194523980576E-3</v>
      </c>
    </row>
    <row r="201" spans="1:14">
      <c r="A201" s="8">
        <v>40084</v>
      </c>
      <c r="B201" s="4">
        <v>21.9</v>
      </c>
      <c r="C201" s="4">
        <v>11.5</v>
      </c>
      <c r="D201" s="4">
        <v>3.12</v>
      </c>
      <c r="E201" s="4">
        <v>7.6</v>
      </c>
      <c r="F201" s="4">
        <v>10.3</v>
      </c>
      <c r="G201" s="4">
        <v>17.100000000000001</v>
      </c>
      <c r="I201" s="4">
        <v>-4.5558165358608018E-3</v>
      </c>
      <c r="J201" s="4">
        <v>-6.7252227009167456E-2</v>
      </c>
      <c r="K201" s="4">
        <v>-6.38979809877101E-3</v>
      </c>
      <c r="L201" s="4">
        <v>1.3245226750020505E-2</v>
      </c>
      <c r="M201" s="4">
        <v>-7.4801213082698284E-2</v>
      </c>
      <c r="N201" s="4">
        <v>0</v>
      </c>
    </row>
    <row r="202" spans="1:14">
      <c r="A202" s="8">
        <v>40085</v>
      </c>
      <c r="B202" s="4">
        <v>22</v>
      </c>
      <c r="C202" s="4">
        <v>11.6</v>
      </c>
      <c r="D202" s="4">
        <v>3.12</v>
      </c>
      <c r="E202" s="4">
        <v>7.85</v>
      </c>
      <c r="F202" s="4">
        <v>10.3</v>
      </c>
      <c r="G202" s="4">
        <v>17.2</v>
      </c>
      <c r="I202" s="4">
        <v>4.5558165358608824E-3</v>
      </c>
      <c r="J202" s="4">
        <v>8.6580627431145311E-3</v>
      </c>
      <c r="K202" s="4">
        <v>0</v>
      </c>
      <c r="L202" s="4">
        <v>3.2365284502031716E-2</v>
      </c>
      <c r="M202" s="4">
        <v>0</v>
      </c>
      <c r="N202" s="4">
        <v>5.8309203107931437E-3</v>
      </c>
    </row>
    <row r="203" spans="1:14">
      <c r="A203" s="8">
        <v>40086</v>
      </c>
      <c r="B203" s="4">
        <v>22.9</v>
      </c>
      <c r="C203" s="4">
        <v>11.7</v>
      </c>
      <c r="D203" s="4">
        <v>3.14</v>
      </c>
      <c r="E203" s="4">
        <v>7.95</v>
      </c>
      <c r="F203" s="4">
        <v>10.6</v>
      </c>
      <c r="G203" s="4">
        <v>17.399999999999999</v>
      </c>
      <c r="I203" s="4">
        <v>4.0094457201877994E-2</v>
      </c>
      <c r="J203" s="4">
        <v>8.583743691391435E-3</v>
      </c>
      <c r="K203" s="4">
        <v>6.3897980987709883E-3</v>
      </c>
      <c r="L203" s="4">
        <v>1.2658396871923465E-2</v>
      </c>
      <c r="M203" s="4">
        <v>2.871010588243136E-2</v>
      </c>
      <c r="N203" s="4">
        <v>1.1560822401076006E-2</v>
      </c>
    </row>
    <row r="204" spans="1:14">
      <c r="A204" s="8">
        <v>40087</v>
      </c>
      <c r="B204" s="4">
        <v>24.6</v>
      </c>
      <c r="C204" s="4">
        <v>11.9</v>
      </c>
      <c r="D204" s="4">
        <v>3.28</v>
      </c>
      <c r="E204" s="4">
        <v>8.5</v>
      </c>
      <c r="F204" s="4">
        <v>10.6</v>
      </c>
      <c r="G204" s="4">
        <v>18.100000000000001</v>
      </c>
      <c r="I204" s="4">
        <v>7.1609532378123217E-2</v>
      </c>
      <c r="J204" s="4">
        <v>1.6949558313773424E-2</v>
      </c>
      <c r="K204" s="4">
        <v>4.3620622475890353E-2</v>
      </c>
      <c r="L204" s="4">
        <v>6.6894234830030222E-2</v>
      </c>
      <c r="M204" s="4">
        <v>0</v>
      </c>
      <c r="N204" s="4">
        <v>3.9441732051296835E-2</v>
      </c>
    </row>
    <row r="205" spans="1:14">
      <c r="A205" s="8">
        <v>40088</v>
      </c>
      <c r="B205" s="4">
        <v>24.5</v>
      </c>
      <c r="C205" s="4">
        <v>11.7</v>
      </c>
      <c r="D205" s="4">
        <v>3.28</v>
      </c>
      <c r="E205" s="4">
        <v>8.6999999999999993</v>
      </c>
      <c r="F205" s="4">
        <v>10.5</v>
      </c>
      <c r="G205" s="4">
        <v>17.899999999999999</v>
      </c>
      <c r="I205" s="4">
        <v>-4.0733253876358982E-3</v>
      </c>
      <c r="J205" s="4">
        <v>-1.694955831377332E-2</v>
      </c>
      <c r="K205" s="4">
        <v>0</v>
      </c>
      <c r="L205" s="4">
        <v>2.3256862164267183E-2</v>
      </c>
      <c r="M205" s="4">
        <v>-9.47874395454377E-3</v>
      </c>
      <c r="N205" s="4">
        <v>-1.1111225425070946E-2</v>
      </c>
    </row>
    <row r="206" spans="1:14">
      <c r="A206" s="8">
        <v>40091</v>
      </c>
      <c r="B206" s="4">
        <v>25</v>
      </c>
      <c r="C206" s="4">
        <v>12.1</v>
      </c>
      <c r="D206" s="4">
        <v>3.34</v>
      </c>
      <c r="E206" s="4">
        <v>8.65</v>
      </c>
      <c r="F206" s="4">
        <v>10.7</v>
      </c>
      <c r="G206" s="4">
        <v>18.2</v>
      </c>
      <c r="I206" s="4">
        <v>2.0202707317519469E-2</v>
      </c>
      <c r="J206" s="4">
        <v>3.3616610798985064E-2</v>
      </c>
      <c r="K206" s="4">
        <v>1.8127384592556701E-2</v>
      </c>
      <c r="L206" s="4">
        <v>-5.7637047167499065E-3</v>
      </c>
      <c r="M206" s="4">
        <v>1.8868484304382736E-2</v>
      </c>
      <c r="N206" s="4">
        <v>1.66208812360405E-2</v>
      </c>
    </row>
    <row r="207" spans="1:14">
      <c r="A207" s="8">
        <v>40092</v>
      </c>
      <c r="B207" s="4">
        <v>25</v>
      </c>
      <c r="C207" s="4">
        <v>13.1</v>
      </c>
      <c r="D207" s="4">
        <v>3.76</v>
      </c>
      <c r="E207" s="4">
        <v>8.8000000000000007</v>
      </c>
      <c r="F207" s="4">
        <v>11.3</v>
      </c>
      <c r="G207" s="4">
        <v>18.5</v>
      </c>
      <c r="I207" s="4">
        <v>0</v>
      </c>
      <c r="J207" s="4">
        <v>7.9406777604410408E-2</v>
      </c>
      <c r="K207" s="4">
        <v>0.11844815041319409</v>
      </c>
      <c r="L207" s="4">
        <v>1.7192400540372771E-2</v>
      </c>
      <c r="M207" s="4">
        <v>5.4558984250434608E-2</v>
      </c>
      <c r="N207" s="4">
        <v>1.6349138001529411E-2</v>
      </c>
    </row>
    <row r="208" spans="1:14">
      <c r="A208" s="8">
        <v>40093</v>
      </c>
      <c r="B208" s="4">
        <v>24.7</v>
      </c>
      <c r="C208" s="4">
        <v>13.4</v>
      </c>
      <c r="D208" s="4">
        <v>4.1399999999999997</v>
      </c>
      <c r="E208" s="4">
        <v>8.6999999999999993</v>
      </c>
      <c r="F208" s="4">
        <v>11.1</v>
      </c>
      <c r="G208" s="4">
        <v>19.100000000000001</v>
      </c>
      <c r="I208" s="4">
        <v>-1.2072581234269249E-2</v>
      </c>
      <c r="J208" s="4">
        <v>2.2642476749759971E-2</v>
      </c>
      <c r="K208" s="4">
        <v>9.6276830435419777E-2</v>
      </c>
      <c r="L208" s="4">
        <v>-1.1428695823622968E-2</v>
      </c>
      <c r="M208" s="4">
        <v>-1.7857617400006572E-2</v>
      </c>
      <c r="N208" s="4">
        <v>3.1917602968305162E-2</v>
      </c>
    </row>
    <row r="209" spans="1:14">
      <c r="A209" s="8">
        <v>40094</v>
      </c>
      <c r="B209" s="4">
        <v>24.6</v>
      </c>
      <c r="C209" s="4">
        <v>14.9</v>
      </c>
      <c r="D209" s="4">
        <v>4.16</v>
      </c>
      <c r="E209" s="4">
        <v>8.9</v>
      </c>
      <c r="F209" s="4">
        <v>11.1</v>
      </c>
      <c r="G209" s="4">
        <v>19.899999999999999</v>
      </c>
      <c r="I209" s="4">
        <v>-4.056800695614318E-3</v>
      </c>
      <c r="J209" s="4">
        <v>0.10610650599454777</v>
      </c>
      <c r="K209" s="4">
        <v>4.8192864359489218E-3</v>
      </c>
      <c r="L209" s="4">
        <v>2.272825107755631E-2</v>
      </c>
      <c r="M209" s="4">
        <v>0</v>
      </c>
      <c r="N209" s="4">
        <v>4.1031396677862354E-2</v>
      </c>
    </row>
    <row r="210" spans="1:14">
      <c r="A210" s="8">
        <v>40095</v>
      </c>
      <c r="B210" s="4">
        <v>25.5</v>
      </c>
      <c r="C210" s="4">
        <v>14.2</v>
      </c>
      <c r="D210" s="4">
        <v>4.0599999999999996</v>
      </c>
      <c r="E210" s="4">
        <v>9</v>
      </c>
      <c r="F210" s="4">
        <v>11.2</v>
      </c>
      <c r="G210" s="4">
        <v>21.2</v>
      </c>
      <c r="I210" s="4">
        <v>3.593200922606337E-2</v>
      </c>
      <c r="J210" s="4">
        <v>-4.8119248344198458E-2</v>
      </c>
      <c r="K210" s="4">
        <v>-2.4332100659530783E-2</v>
      </c>
      <c r="L210" s="4">
        <v>1.1173300598125255E-2</v>
      </c>
      <c r="M210" s="4">
        <v>8.9686699827603161E-3</v>
      </c>
      <c r="N210" s="4">
        <v>6.328144994752001E-2</v>
      </c>
    </row>
    <row r="211" spans="1:14">
      <c r="A211" s="8">
        <v>40098</v>
      </c>
      <c r="B211" s="4">
        <v>25.25</v>
      </c>
      <c r="C211" s="4">
        <v>14.3</v>
      </c>
      <c r="D211" s="4">
        <v>4.12</v>
      </c>
      <c r="E211" s="4">
        <v>9.5</v>
      </c>
      <c r="F211" s="4">
        <v>11</v>
      </c>
      <c r="G211" s="4">
        <v>21.6</v>
      </c>
      <c r="I211" s="4">
        <v>-9.8522964430115944E-3</v>
      </c>
      <c r="J211" s="4">
        <v>7.0175726586465398E-3</v>
      </c>
      <c r="K211" s="4">
        <v>1.4670189747793839E-2</v>
      </c>
      <c r="L211" s="4">
        <v>5.4067221270275793E-2</v>
      </c>
      <c r="M211" s="4">
        <v>-1.801850550267825E-2</v>
      </c>
      <c r="N211" s="4">
        <v>1.8692133012152546E-2</v>
      </c>
    </row>
    <row r="212" spans="1:14">
      <c r="A212" s="8">
        <v>40099</v>
      </c>
      <c r="B212" s="4">
        <v>25.25</v>
      </c>
      <c r="C212" s="4">
        <v>14.4</v>
      </c>
      <c r="D212" s="4">
        <v>4.12</v>
      </c>
      <c r="E212" s="4">
        <v>9.6</v>
      </c>
      <c r="F212" s="4">
        <v>10.8</v>
      </c>
      <c r="G212" s="4">
        <v>20.5</v>
      </c>
      <c r="I212" s="4">
        <v>0</v>
      </c>
      <c r="J212" s="4">
        <v>6.9686693160932152E-3</v>
      </c>
      <c r="K212" s="4">
        <v>0</v>
      </c>
      <c r="L212" s="4">
        <v>1.0471299867295437E-2</v>
      </c>
      <c r="M212" s="4">
        <v>-1.834913866819643E-2</v>
      </c>
      <c r="N212" s="4">
        <v>-5.2268428545756945E-2</v>
      </c>
    </row>
    <row r="213" spans="1:14">
      <c r="A213" s="8">
        <v>40100</v>
      </c>
      <c r="B213" s="4">
        <v>24.8</v>
      </c>
      <c r="C213" s="4">
        <v>14</v>
      </c>
      <c r="D213" s="4">
        <v>3.9</v>
      </c>
      <c r="E213" s="4">
        <v>9.4499999999999993</v>
      </c>
      <c r="F213" s="4">
        <v>10.4</v>
      </c>
      <c r="G213" s="4">
        <v>20.100000000000001</v>
      </c>
      <c r="I213" s="4">
        <v>-1.7982502550432357E-2</v>
      </c>
      <c r="J213" s="4">
        <v>-2.8170876966696335E-2</v>
      </c>
      <c r="K213" s="4">
        <v>-5.4876610225834371E-2</v>
      </c>
      <c r="L213" s="4">
        <v>-1.5748356968139168E-2</v>
      </c>
      <c r="M213" s="4">
        <v>-3.7740327982847086E-2</v>
      </c>
      <c r="N213" s="4">
        <v>-1.9705071079332333E-2</v>
      </c>
    </row>
    <row r="214" spans="1:14">
      <c r="A214" s="8">
        <v>40101</v>
      </c>
      <c r="B214" s="4">
        <v>23.4</v>
      </c>
      <c r="C214" s="4">
        <v>13.6</v>
      </c>
      <c r="D214" s="4">
        <v>3.6</v>
      </c>
      <c r="E214" s="4">
        <v>8.6</v>
      </c>
      <c r="F214" s="4">
        <v>9.4499999999999993</v>
      </c>
      <c r="G214" s="4">
        <v>18.399999999999999</v>
      </c>
      <c r="I214" s="4">
        <v>-5.8107630807280812E-2</v>
      </c>
      <c r="J214" s="4">
        <v>-2.8987536873252298E-2</v>
      </c>
      <c r="K214" s="4">
        <v>-8.004270767353637E-2</v>
      </c>
      <c r="L214" s="4">
        <v>-9.4252538246189274E-2</v>
      </c>
      <c r="M214" s="4">
        <v>-9.5791064641675722E-2</v>
      </c>
      <c r="N214" s="4">
        <v>-8.836915045009032E-2</v>
      </c>
    </row>
    <row r="215" spans="1:14">
      <c r="A215" s="8">
        <v>40102</v>
      </c>
      <c r="B215" s="4">
        <v>24.4</v>
      </c>
      <c r="C215" s="4">
        <v>14.1</v>
      </c>
      <c r="D215" s="4">
        <v>3.94</v>
      </c>
      <c r="E215" s="4">
        <v>9</v>
      </c>
      <c r="F215" s="4">
        <v>10.199999999999999</v>
      </c>
      <c r="G215" s="4">
        <v>19.8</v>
      </c>
      <c r="I215" s="4">
        <v>4.1847109935500504E-2</v>
      </c>
      <c r="J215" s="4">
        <v>3.6105004642116356E-2</v>
      </c>
      <c r="K215" s="4">
        <v>9.0246877847778031E-2</v>
      </c>
      <c r="L215" s="4">
        <v>4.5462374076757413E-2</v>
      </c>
      <c r="M215" s="4">
        <v>7.6372978784573956E-2</v>
      </c>
      <c r="N215" s="4">
        <v>7.3331273085549722E-2</v>
      </c>
    </row>
    <row r="216" spans="1:14">
      <c r="A216" s="8">
        <v>40105</v>
      </c>
      <c r="B216" s="4">
        <v>25</v>
      </c>
      <c r="C216" s="4">
        <v>14.4</v>
      </c>
      <c r="D216" s="4">
        <v>3.94</v>
      </c>
      <c r="E216" s="4">
        <v>9.5500000000000007</v>
      </c>
      <c r="F216" s="4">
        <v>10.3</v>
      </c>
      <c r="G216" s="4">
        <v>20.9</v>
      </c>
      <c r="I216" s="4">
        <v>2.4292692569044701E-2</v>
      </c>
      <c r="J216" s="4">
        <v>2.1053409197832482E-2</v>
      </c>
      <c r="K216" s="4">
        <v>0</v>
      </c>
      <c r="L216" s="4">
        <v>5.9316577156419505E-2</v>
      </c>
      <c r="M216" s="4">
        <v>9.7561749453648743E-3</v>
      </c>
      <c r="N216" s="4">
        <v>5.4067221270275578E-2</v>
      </c>
    </row>
    <row r="217" spans="1:14">
      <c r="A217" s="8">
        <v>40106</v>
      </c>
      <c r="B217" s="4">
        <v>24.8</v>
      </c>
      <c r="C217" s="4">
        <v>14.6</v>
      </c>
      <c r="D217" s="4">
        <v>3.94</v>
      </c>
      <c r="E217" s="4">
        <v>9.35</v>
      </c>
      <c r="F217" s="4">
        <v>10.6</v>
      </c>
      <c r="G217" s="4">
        <v>20.6</v>
      </c>
      <c r="I217" s="4">
        <v>-8.0321716972642666E-3</v>
      </c>
      <c r="J217" s="4">
        <v>1.3793322132335769E-2</v>
      </c>
      <c r="K217" s="4">
        <v>0</v>
      </c>
      <c r="L217" s="4">
        <v>-2.1164811192043383E-2</v>
      </c>
      <c r="M217" s="4">
        <v>2.871010588243136E-2</v>
      </c>
      <c r="N217" s="4">
        <v>-1.4458083175229775E-2</v>
      </c>
    </row>
    <row r="218" spans="1:14">
      <c r="A218" s="8">
        <v>40107</v>
      </c>
      <c r="B218" s="4">
        <v>24.8</v>
      </c>
      <c r="C218" s="4">
        <v>15.4</v>
      </c>
      <c r="D218" s="4">
        <v>3.92</v>
      </c>
      <c r="E218" s="4">
        <v>9.1</v>
      </c>
      <c r="F218" s="4">
        <v>10.3</v>
      </c>
      <c r="G218" s="4">
        <v>20.399999999999999</v>
      </c>
      <c r="I218" s="4">
        <v>0</v>
      </c>
      <c r="J218" s="4">
        <v>5.3345980705292714E-2</v>
      </c>
      <c r="K218" s="4">
        <v>-5.0890695074712932E-3</v>
      </c>
      <c r="L218" s="4">
        <v>-2.7101929777791269E-2</v>
      </c>
      <c r="M218" s="4">
        <v>-2.8710105882431253E-2</v>
      </c>
      <c r="N218" s="4">
        <v>-9.756174945364798E-3</v>
      </c>
    </row>
    <row r="219" spans="1:14">
      <c r="A219" s="8">
        <v>40108</v>
      </c>
      <c r="B219" s="4">
        <v>23.9</v>
      </c>
      <c r="C219" s="4">
        <v>15.2</v>
      </c>
      <c r="D219" s="4">
        <v>3.84</v>
      </c>
      <c r="E219" s="4">
        <v>8.9</v>
      </c>
      <c r="F219" s="4">
        <v>10.1</v>
      </c>
      <c r="G219" s="4">
        <v>20.2</v>
      </c>
      <c r="I219" s="4">
        <v>-3.6965194233471589E-2</v>
      </c>
      <c r="J219" s="4">
        <v>-1.3072081567352888E-2</v>
      </c>
      <c r="K219" s="4">
        <v>-2.0619287202735703E-2</v>
      </c>
      <c r="L219" s="4">
        <v>-2.2223136784710124E-2</v>
      </c>
      <c r="M219" s="4">
        <v>-1.9608471388376424E-2</v>
      </c>
      <c r="N219" s="4">
        <v>-9.8522964430115944E-3</v>
      </c>
    </row>
    <row r="220" spans="1:14">
      <c r="A220" s="8">
        <v>40112</v>
      </c>
      <c r="B220" s="4">
        <v>23.8</v>
      </c>
      <c r="C220" s="4">
        <v>15.4</v>
      </c>
      <c r="D220" s="4">
        <v>3.88</v>
      </c>
      <c r="E220" s="4">
        <v>9.1</v>
      </c>
      <c r="F220" s="4">
        <v>10.1</v>
      </c>
      <c r="G220" s="4">
        <v>20.3</v>
      </c>
      <c r="I220" s="4">
        <v>-4.1928782600359274E-3</v>
      </c>
      <c r="J220" s="4">
        <v>1.3072081567352921E-2</v>
      </c>
      <c r="K220" s="4">
        <v>1.0362787035546658E-2</v>
      </c>
      <c r="L220" s="4">
        <v>2.2223136784710041E-2</v>
      </c>
      <c r="M220" s="4">
        <v>0</v>
      </c>
      <c r="N220" s="4">
        <v>4.9382816405825767E-3</v>
      </c>
    </row>
    <row r="221" spans="1:14">
      <c r="A221" s="8">
        <v>40113</v>
      </c>
      <c r="B221" s="4">
        <v>24</v>
      </c>
      <c r="C221" s="4">
        <v>16.2</v>
      </c>
      <c r="D221" s="4">
        <v>3.96</v>
      </c>
      <c r="E221" s="4">
        <v>9.65</v>
      </c>
      <c r="F221" s="4">
        <v>10.199999999999999</v>
      </c>
      <c r="G221" s="4">
        <v>20.7</v>
      </c>
      <c r="I221" s="4">
        <v>8.3682496705165792E-3</v>
      </c>
      <c r="J221" s="4">
        <v>5.0643732818754936E-2</v>
      </c>
      <c r="K221" s="4">
        <v>2.0408871631207033E-2</v>
      </c>
      <c r="L221" s="4">
        <v>5.8683501828090207E-2</v>
      </c>
      <c r="M221" s="4">
        <v>9.8522964430116395E-3</v>
      </c>
      <c r="N221" s="4">
        <v>1.9512814223581719E-2</v>
      </c>
    </row>
    <row r="222" spans="1:14">
      <c r="A222" s="8">
        <v>40114</v>
      </c>
      <c r="B222" s="4">
        <v>23.7</v>
      </c>
      <c r="C222" s="4">
        <v>16.2</v>
      </c>
      <c r="D222" s="4">
        <v>3.9</v>
      </c>
      <c r="E222" s="4">
        <v>9.25</v>
      </c>
      <c r="F222" s="4">
        <v>9.9499999999999993</v>
      </c>
      <c r="G222" s="4">
        <v>20.3</v>
      </c>
      <c r="I222" s="4">
        <v>-1.2578782206860185E-2</v>
      </c>
      <c r="J222" s="4">
        <v>0</v>
      </c>
      <c r="K222" s="4">
        <v>-1.5267472130788421E-2</v>
      </c>
      <c r="L222" s="4">
        <v>-4.2334363826560771E-2</v>
      </c>
      <c r="M222" s="4">
        <v>-2.481516911972402E-2</v>
      </c>
      <c r="N222" s="4">
        <v>-1.9512814223581715E-2</v>
      </c>
    </row>
    <row r="223" spans="1:14">
      <c r="A223" s="8">
        <v>40115</v>
      </c>
      <c r="B223" s="4">
        <v>23.3</v>
      </c>
      <c r="C223" s="4">
        <v>16</v>
      </c>
      <c r="D223" s="4">
        <v>3.82</v>
      </c>
      <c r="E223" s="4">
        <v>9.5</v>
      </c>
      <c r="F223" s="4">
        <v>9.8000000000000007</v>
      </c>
      <c r="G223" s="4">
        <v>19.899999999999999</v>
      </c>
      <c r="I223" s="4">
        <v>-1.7021687569430524E-2</v>
      </c>
      <c r="J223" s="4">
        <v>-1.2422519998557096E-2</v>
      </c>
      <c r="K223" s="4">
        <v>-2.072613051711697E-2</v>
      </c>
      <c r="L223" s="4">
        <v>2.6668247082161273E-2</v>
      </c>
      <c r="M223" s="4">
        <v>-1.5190165493975007E-2</v>
      </c>
      <c r="N223" s="4">
        <v>-1.9901154317295024E-2</v>
      </c>
    </row>
    <row r="224" spans="1:14">
      <c r="A224" s="8">
        <v>40116</v>
      </c>
      <c r="B224" s="4">
        <v>23.7</v>
      </c>
      <c r="C224" s="4">
        <v>15.6</v>
      </c>
      <c r="D224" s="4">
        <v>3.78</v>
      </c>
      <c r="E224" s="4">
        <v>9.65</v>
      </c>
      <c r="F224" s="4">
        <v>9.6</v>
      </c>
      <c r="G224" s="4">
        <v>19.7</v>
      </c>
      <c r="I224" s="4">
        <v>1.7021687569430524E-2</v>
      </c>
      <c r="J224" s="4">
        <v>-2.5317807984289897E-2</v>
      </c>
      <c r="K224" s="4">
        <v>-1.0526412986987504E-2</v>
      </c>
      <c r="L224" s="4">
        <v>1.5666116744399456E-2</v>
      </c>
      <c r="M224" s="4">
        <v>-2.0619287202735818E-2</v>
      </c>
      <c r="N224" s="4">
        <v>-1.0101095986503821E-2</v>
      </c>
    </row>
    <row r="225" spans="1:14">
      <c r="A225" s="8">
        <v>40119</v>
      </c>
      <c r="B225" s="4">
        <v>23.2</v>
      </c>
      <c r="C225" s="4">
        <v>15.3</v>
      </c>
      <c r="D225" s="4">
        <v>3.72</v>
      </c>
      <c r="E225" s="4">
        <v>9.5</v>
      </c>
      <c r="F225" s="4">
        <v>9.4</v>
      </c>
      <c r="G225" s="4">
        <v>19.399999999999999</v>
      </c>
      <c r="I225" s="4">
        <v>-2.1322769468821192E-2</v>
      </c>
      <c r="J225" s="4">
        <v>-1.9418085857101513E-2</v>
      </c>
      <c r="K225" s="4">
        <v>-1.6000341346441075E-2</v>
      </c>
      <c r="L225" s="4">
        <v>-1.5666116744399463E-2</v>
      </c>
      <c r="M225" s="4">
        <v>-2.1053409197832267E-2</v>
      </c>
      <c r="N225" s="4">
        <v>-1.5345569674660421E-2</v>
      </c>
    </row>
    <row r="226" spans="1:14">
      <c r="A226" s="8">
        <v>40120</v>
      </c>
      <c r="B226" s="4">
        <v>22.9</v>
      </c>
      <c r="C226" s="4">
        <v>15.4</v>
      </c>
      <c r="D226" s="4">
        <v>3.86</v>
      </c>
      <c r="E226" s="4">
        <v>9.3000000000000007</v>
      </c>
      <c r="F226" s="4">
        <v>8.9</v>
      </c>
      <c r="G226" s="4">
        <v>19</v>
      </c>
      <c r="I226" s="4">
        <v>-1.3015368112070361E-2</v>
      </c>
      <c r="J226" s="4">
        <v>6.5146810211936723E-3</v>
      </c>
      <c r="K226" s="4">
        <v>3.6943515191684276E-2</v>
      </c>
      <c r="L226" s="4">
        <v>-2.1277398447284851E-2</v>
      </c>
      <c r="M226" s="4">
        <v>-5.4658412537864083E-2</v>
      </c>
      <c r="N226" s="4">
        <v>-2.0834086902841914E-2</v>
      </c>
    </row>
    <row r="227" spans="1:14">
      <c r="A227" s="8">
        <v>40121</v>
      </c>
      <c r="B227" s="4">
        <v>23.4</v>
      </c>
      <c r="C227" s="4">
        <v>15.5</v>
      </c>
      <c r="D227" s="4">
        <v>4.0199999999999996</v>
      </c>
      <c r="E227" s="4">
        <v>9.5</v>
      </c>
      <c r="F227" s="4">
        <v>9.35</v>
      </c>
      <c r="G227" s="4">
        <v>19.600000000000001</v>
      </c>
      <c r="I227" s="4">
        <v>2.1599111803461721E-2</v>
      </c>
      <c r="J227" s="4">
        <v>6.4725145056175196E-3</v>
      </c>
      <c r="K227" s="4">
        <v>4.0614719154190126E-2</v>
      </c>
      <c r="L227" s="4">
        <v>2.1277398447284879E-2</v>
      </c>
      <c r="M227" s="4">
        <v>4.9325066562501491E-2</v>
      </c>
      <c r="N227" s="4">
        <v>3.1090587070031182E-2</v>
      </c>
    </row>
    <row r="228" spans="1:14">
      <c r="A228" s="8">
        <v>40122</v>
      </c>
      <c r="B228" s="4">
        <v>23.2</v>
      </c>
      <c r="C228" s="4">
        <v>15.4</v>
      </c>
      <c r="D228" s="4">
        <v>4.38</v>
      </c>
      <c r="E228" s="4">
        <v>9.4</v>
      </c>
      <c r="F228" s="4">
        <v>9.1999999999999993</v>
      </c>
      <c r="G228" s="4">
        <v>19.5</v>
      </c>
      <c r="I228" s="4">
        <v>-8.5837436913914419E-3</v>
      </c>
      <c r="J228" s="4">
        <v>-6.4725145056174788E-3</v>
      </c>
      <c r="K228" s="4">
        <v>8.5766821757425102E-2</v>
      </c>
      <c r="L228" s="4">
        <v>-1.0582109330536859E-2</v>
      </c>
      <c r="M228" s="4">
        <v>-1.6172859245601072E-2</v>
      </c>
      <c r="N228" s="4">
        <v>-5.1151006667704887E-3</v>
      </c>
    </row>
    <row r="229" spans="1:14">
      <c r="A229" s="8">
        <v>40123</v>
      </c>
      <c r="B229" s="4">
        <v>23.5</v>
      </c>
      <c r="C229" s="4">
        <v>15.6</v>
      </c>
      <c r="D229" s="4">
        <v>4.34</v>
      </c>
      <c r="E229" s="4">
        <v>9.5500000000000007</v>
      </c>
      <c r="F229" s="4">
        <v>9.65</v>
      </c>
      <c r="G229" s="4">
        <v>20.100000000000001</v>
      </c>
      <c r="I229" s="4">
        <v>1.2848142477849059E-2</v>
      </c>
      <c r="J229" s="4">
        <v>1.2903404835907782E-2</v>
      </c>
      <c r="K229" s="4">
        <v>-9.1743762760412694E-3</v>
      </c>
      <c r="L229" s="4">
        <v>1.5831465216680662E-2</v>
      </c>
      <c r="M229" s="4">
        <v>4.7754431295900034E-2</v>
      </c>
      <c r="N229" s="4">
        <v>3.0305349495329058E-2</v>
      </c>
    </row>
    <row r="230" spans="1:14">
      <c r="A230" s="8">
        <v>40126</v>
      </c>
      <c r="B230" s="4">
        <v>23.8</v>
      </c>
      <c r="C230" s="4">
        <v>15.5</v>
      </c>
      <c r="D230" s="4">
        <v>4.26</v>
      </c>
      <c r="E230" s="4">
        <v>9.8000000000000007</v>
      </c>
      <c r="F230" s="4">
        <v>10</v>
      </c>
      <c r="G230" s="4">
        <v>20.2</v>
      </c>
      <c r="I230" s="4">
        <v>1.2685159527315861E-2</v>
      </c>
      <c r="J230" s="4">
        <v>-6.4308903302904025E-3</v>
      </c>
      <c r="K230" s="4">
        <v>-1.8605187831034469E-2</v>
      </c>
      <c r="L230" s="4">
        <v>2.5841231183887328E-2</v>
      </c>
      <c r="M230" s="4">
        <v>3.5627177643151035E-2</v>
      </c>
      <c r="N230" s="4">
        <v>4.962789342128876E-3</v>
      </c>
    </row>
    <row r="231" spans="1:14">
      <c r="A231" s="8">
        <v>40127</v>
      </c>
      <c r="B231" s="4">
        <v>24.5</v>
      </c>
      <c r="C231" s="4">
        <v>15.4</v>
      </c>
      <c r="D231" s="4">
        <v>4.26</v>
      </c>
      <c r="E231" s="4">
        <v>9.6999999999999993</v>
      </c>
      <c r="F231" s="4">
        <v>9.6999999999999993</v>
      </c>
      <c r="G231" s="4">
        <v>19.899999999999999</v>
      </c>
      <c r="I231" s="4">
        <v>2.8987536873252187E-2</v>
      </c>
      <c r="J231" s="4">
        <v>-6.4725145056174788E-3</v>
      </c>
      <c r="K231" s="4">
        <v>0</v>
      </c>
      <c r="L231" s="4">
        <v>-1.0256500167189221E-2</v>
      </c>
      <c r="M231" s="4">
        <v>-3.0459207484708574E-2</v>
      </c>
      <c r="N231" s="4">
        <v>-1.4962872676712377E-2</v>
      </c>
    </row>
    <row r="232" spans="1:14">
      <c r="A232" s="8">
        <v>40128</v>
      </c>
      <c r="B232" s="4">
        <v>24.7</v>
      </c>
      <c r="C232" s="4">
        <v>15.7</v>
      </c>
      <c r="D232" s="4">
        <v>4.16</v>
      </c>
      <c r="E232" s="4">
        <v>10.199999999999999</v>
      </c>
      <c r="F232" s="4">
        <v>9.8000000000000007</v>
      </c>
      <c r="G232" s="4">
        <v>20.2</v>
      </c>
      <c r="I232" s="4">
        <v>8.1301260832500888E-3</v>
      </c>
      <c r="J232" s="4">
        <v>1.9293202934678851E-2</v>
      </c>
      <c r="K232" s="4">
        <v>-2.375408600810703E-2</v>
      </c>
      <c r="L232" s="4">
        <v>5.0261834780888297E-2</v>
      </c>
      <c r="M232" s="4">
        <v>1.0256500167189282E-2</v>
      </c>
      <c r="N232" s="4">
        <v>1.496287267671232E-2</v>
      </c>
    </row>
    <row r="233" spans="1:14">
      <c r="A233" s="8">
        <v>40129</v>
      </c>
      <c r="B233" s="4">
        <v>23.9</v>
      </c>
      <c r="C233" s="4">
        <v>15.9</v>
      </c>
      <c r="D233" s="4">
        <v>4.2</v>
      </c>
      <c r="E233" s="4">
        <v>10.199999999999999</v>
      </c>
      <c r="F233" s="4">
        <v>9.35</v>
      </c>
      <c r="G233" s="4">
        <v>19.600000000000001</v>
      </c>
      <c r="I233" s="4">
        <v>-3.2924784696466612E-2</v>
      </c>
      <c r="J233" s="4">
        <v>1.2658396871923465E-2</v>
      </c>
      <c r="K233" s="4">
        <v>9.5694510161506725E-3</v>
      </c>
      <c r="L233" s="4">
        <v>0</v>
      </c>
      <c r="M233" s="4">
        <v>-4.7006042375930715E-2</v>
      </c>
      <c r="N233" s="4">
        <v>-3.0153038170687443E-2</v>
      </c>
    </row>
    <row r="234" spans="1:14">
      <c r="A234" s="8">
        <v>40130</v>
      </c>
      <c r="B234" s="4">
        <v>24.3</v>
      </c>
      <c r="C234" s="4">
        <v>16.2</v>
      </c>
      <c r="D234" s="4">
        <v>4.0999999999999996</v>
      </c>
      <c r="E234" s="4">
        <v>10.9</v>
      </c>
      <c r="F234" s="4">
        <v>9.3000000000000007</v>
      </c>
      <c r="G234" s="4">
        <v>19.600000000000001</v>
      </c>
      <c r="I234" s="4">
        <v>1.6597891409037831E-2</v>
      </c>
      <c r="J234" s="4">
        <v>1.8692133012152546E-2</v>
      </c>
      <c r="K234" s="4">
        <v>-2.4097551579060641E-2</v>
      </c>
      <c r="L234" s="4">
        <v>6.63750689448728E-2</v>
      </c>
      <c r="M234" s="4">
        <v>-5.3619431413852872E-3</v>
      </c>
      <c r="N234" s="4">
        <v>0</v>
      </c>
    </row>
    <row r="235" spans="1:14">
      <c r="A235" s="8">
        <v>40133</v>
      </c>
      <c r="B235" s="4">
        <v>24.4</v>
      </c>
      <c r="C235" s="4">
        <v>15.9</v>
      </c>
      <c r="D235" s="4">
        <v>3.9</v>
      </c>
      <c r="E235" s="4">
        <v>11.6</v>
      </c>
      <c r="F235" s="4">
        <v>9.35</v>
      </c>
      <c r="G235" s="4">
        <v>19.8</v>
      </c>
      <c r="I235" s="4">
        <v>4.1067819526532812E-3</v>
      </c>
      <c r="J235" s="4">
        <v>-1.8692133012152522E-2</v>
      </c>
      <c r="K235" s="4">
        <v>-5.0010420574661305E-2</v>
      </c>
      <c r="L235" s="4">
        <v>6.2242308877220792E-2</v>
      </c>
      <c r="M235" s="4">
        <v>5.3619431413853731E-3</v>
      </c>
      <c r="N235" s="4">
        <v>1.0152371464017908E-2</v>
      </c>
    </row>
    <row r="236" spans="1:14">
      <c r="A236" s="8">
        <v>40134</v>
      </c>
      <c r="B236" s="4">
        <v>24.5</v>
      </c>
      <c r="C236" s="4">
        <v>15.8</v>
      </c>
      <c r="D236" s="4">
        <v>3.98</v>
      </c>
      <c r="E236" s="4">
        <v>11.3</v>
      </c>
      <c r="F236" s="4">
        <v>9.25</v>
      </c>
      <c r="G236" s="4">
        <v>19.899999999999999</v>
      </c>
      <c r="I236" s="4">
        <v>4.0899852515250664E-3</v>
      </c>
      <c r="J236" s="4">
        <v>-6.309169193264721E-3</v>
      </c>
      <c r="K236" s="4">
        <v>2.0305266160745523E-2</v>
      </c>
      <c r="L236" s="4">
        <v>-2.6202372394023961E-2</v>
      </c>
      <c r="M236" s="4">
        <v>-1.0752791776261737E-2</v>
      </c>
      <c r="N236" s="4">
        <v>5.037794029957081E-3</v>
      </c>
    </row>
    <row r="237" spans="1:14">
      <c r="A237" s="8">
        <v>40135</v>
      </c>
      <c r="B237" s="4">
        <v>24.4</v>
      </c>
      <c r="C237" s="4">
        <v>16.100000000000001</v>
      </c>
      <c r="D237" s="4">
        <v>3.98</v>
      </c>
      <c r="E237" s="4">
        <v>11</v>
      </c>
      <c r="F237" s="4">
        <v>9.1999999999999993</v>
      </c>
      <c r="G237" s="4">
        <v>20.7</v>
      </c>
      <c r="I237" s="4">
        <v>-4.0899852515251661E-3</v>
      </c>
      <c r="J237" s="4">
        <v>1.8809331957496293E-2</v>
      </c>
      <c r="K237" s="4">
        <v>0</v>
      </c>
      <c r="L237" s="4">
        <v>-2.6907452919924382E-2</v>
      </c>
      <c r="M237" s="4">
        <v>-5.4200674693392556E-3</v>
      </c>
      <c r="N237" s="4">
        <v>3.9413968540876629E-2</v>
      </c>
    </row>
    <row r="238" spans="1:14">
      <c r="A238" s="8">
        <v>40136</v>
      </c>
      <c r="B238" s="4">
        <v>24.1</v>
      </c>
      <c r="C238" s="4">
        <v>16.100000000000001</v>
      </c>
      <c r="D238" s="4">
        <v>3.9</v>
      </c>
      <c r="E238" s="4">
        <v>10.9</v>
      </c>
      <c r="F238" s="4">
        <v>9.1</v>
      </c>
      <c r="G238" s="4">
        <v>20.2</v>
      </c>
      <c r="I238" s="4">
        <v>-1.2371291802546718E-2</v>
      </c>
      <c r="J238" s="4">
        <v>0</v>
      </c>
      <c r="K238" s="4">
        <v>-2.0305266160745569E-2</v>
      </c>
      <c r="L238" s="4">
        <v>-9.1324835632724741E-3</v>
      </c>
      <c r="M238" s="4">
        <v>-1.0929070532190206E-2</v>
      </c>
      <c r="N238" s="4">
        <v>-2.4451095864164309E-2</v>
      </c>
    </row>
    <row r="239" spans="1:14">
      <c r="A239" s="8">
        <v>40137</v>
      </c>
      <c r="B239" s="4">
        <v>24.4</v>
      </c>
      <c r="C239" s="4">
        <v>16.100000000000001</v>
      </c>
      <c r="D239" s="4">
        <v>3.82</v>
      </c>
      <c r="E239" s="4">
        <v>10.7</v>
      </c>
      <c r="F239" s="4">
        <v>9.0500000000000007</v>
      </c>
      <c r="G239" s="4">
        <v>20.3</v>
      </c>
      <c r="I239" s="4">
        <v>1.2371291802546829E-2</v>
      </c>
      <c r="J239" s="4">
        <v>0</v>
      </c>
      <c r="K239" s="4">
        <v>-2.072613051711697E-2</v>
      </c>
      <c r="L239" s="4">
        <v>-1.8519047767237642E-2</v>
      </c>
      <c r="M239" s="4">
        <v>-5.5096558109694726E-3</v>
      </c>
      <c r="N239" s="4">
        <v>4.9382816405825767E-3</v>
      </c>
    </row>
    <row r="240" spans="1:14">
      <c r="A240" s="8">
        <v>40140</v>
      </c>
      <c r="B240" s="4">
        <v>24.3</v>
      </c>
      <c r="C240" s="4">
        <v>15.9</v>
      </c>
      <c r="D240" s="4">
        <v>4.12</v>
      </c>
      <c r="E240" s="4">
        <v>10.6</v>
      </c>
      <c r="F240" s="4">
        <v>8.85</v>
      </c>
      <c r="G240" s="4">
        <v>20</v>
      </c>
      <c r="I240" s="4">
        <v>-4.1067819526533593E-3</v>
      </c>
      <c r="J240" s="4">
        <v>-1.2500162764231494E-2</v>
      </c>
      <c r="K240" s="4">
        <v>7.5602740742951341E-2</v>
      </c>
      <c r="L240" s="4">
        <v>-9.3897403498390316E-3</v>
      </c>
      <c r="M240" s="4">
        <v>-2.2347298691996774E-2</v>
      </c>
      <c r="N240" s="4">
        <v>-1.4888612493750637E-2</v>
      </c>
    </row>
    <row r="241" spans="1:14">
      <c r="A241" s="8">
        <v>40141</v>
      </c>
      <c r="B241" s="4">
        <v>24.5</v>
      </c>
      <c r="C241" s="4">
        <v>15.5</v>
      </c>
      <c r="D241" s="4">
        <v>3.88</v>
      </c>
      <c r="E241" s="4">
        <v>10.5</v>
      </c>
      <c r="F241" s="4">
        <v>8.6</v>
      </c>
      <c r="G241" s="4">
        <v>19.600000000000001</v>
      </c>
      <c r="I241" s="4">
        <v>8.1967672041784907E-3</v>
      </c>
      <c r="J241" s="4">
        <v>-2.5479085300984899E-2</v>
      </c>
      <c r="K241" s="4">
        <v>-6.0018009726253041E-2</v>
      </c>
      <c r="L241" s="4">
        <v>-9.47874395454377E-3</v>
      </c>
      <c r="M241" s="4">
        <v>-2.8655255760376062E-2</v>
      </c>
      <c r="N241" s="4">
        <v>-2.0202707317519355E-2</v>
      </c>
    </row>
    <row r="242" spans="1:14">
      <c r="A242" s="8">
        <v>40142</v>
      </c>
      <c r="B242" s="4">
        <v>26</v>
      </c>
      <c r="C242" s="4">
        <v>15.7</v>
      </c>
      <c r="D242" s="4">
        <v>4.0599999999999996</v>
      </c>
      <c r="E242" s="4">
        <v>10.8</v>
      </c>
      <c r="F242" s="4">
        <v>9.15</v>
      </c>
      <c r="G242" s="4">
        <v>20.2</v>
      </c>
      <c r="I242" s="4">
        <v>5.9423420470800806E-2</v>
      </c>
      <c r="J242" s="4">
        <v>1.2820688429061469E-2</v>
      </c>
      <c r="K242" s="4">
        <v>4.5347819978459041E-2</v>
      </c>
      <c r="L242" s="4">
        <v>2.8170876966696439E-2</v>
      </c>
      <c r="M242" s="4">
        <v>6.1991676027968005E-2</v>
      </c>
      <c r="N242" s="4">
        <v>3.0153038170687457E-2</v>
      </c>
    </row>
    <row r="243" spans="1:14">
      <c r="A243" s="8">
        <v>40143</v>
      </c>
      <c r="B243" s="4">
        <v>27</v>
      </c>
      <c r="C243" s="4">
        <v>15.7</v>
      </c>
      <c r="D243" s="4">
        <v>3.92</v>
      </c>
      <c r="E243" s="4">
        <v>10.4</v>
      </c>
      <c r="F243" s="4">
        <v>8.8000000000000007</v>
      </c>
      <c r="G243" s="4">
        <v>20.7</v>
      </c>
      <c r="I243" s="4">
        <v>3.7740327982847113E-2</v>
      </c>
      <c r="J243" s="4">
        <v>0</v>
      </c>
      <c r="K243" s="4">
        <v>-3.5091319811270061E-2</v>
      </c>
      <c r="L243" s="4">
        <v>-3.7740327982847086E-2</v>
      </c>
      <c r="M243" s="4">
        <v>-3.9002157803269086E-2</v>
      </c>
      <c r="N243" s="4">
        <v>2.4451095864164336E-2</v>
      </c>
    </row>
    <row r="244" spans="1:14">
      <c r="A244" s="8">
        <v>40144</v>
      </c>
      <c r="B244" s="4">
        <v>28</v>
      </c>
      <c r="C244" s="4">
        <v>15.6</v>
      </c>
      <c r="D244" s="4">
        <v>3.98</v>
      </c>
      <c r="E244" s="4">
        <v>10.199999999999999</v>
      </c>
      <c r="F244" s="4">
        <v>8.6</v>
      </c>
      <c r="G244" s="4">
        <v>21.1</v>
      </c>
      <c r="I244" s="4">
        <v>3.6367644170874791E-2</v>
      </c>
      <c r="J244" s="4">
        <v>-6.38979809877101E-3</v>
      </c>
      <c r="K244" s="4">
        <v>1.5190165493975238E-2</v>
      </c>
      <c r="L244" s="4">
        <v>-1.9418085857101738E-2</v>
      </c>
      <c r="M244" s="4">
        <v>-2.2989518224698833E-2</v>
      </c>
      <c r="N244" s="4">
        <v>1.9139340210697506E-2</v>
      </c>
    </row>
    <row r="245" spans="1:14">
      <c r="A245" s="8">
        <v>40147</v>
      </c>
      <c r="B245" s="4">
        <v>28.75</v>
      </c>
      <c r="C245" s="4">
        <v>15.8</v>
      </c>
      <c r="D245" s="4">
        <v>3.9</v>
      </c>
      <c r="E245" s="4">
        <v>10.7</v>
      </c>
      <c r="F245" s="4">
        <v>8.65</v>
      </c>
      <c r="G245" s="4">
        <v>21.9</v>
      </c>
      <c r="I245" s="4">
        <v>2.6433257068155431E-2</v>
      </c>
      <c r="J245" s="4">
        <v>1.2739025777429932E-2</v>
      </c>
      <c r="K245" s="4">
        <v>-2.0305266160745569E-2</v>
      </c>
      <c r="L245" s="4">
        <v>4.7856021177635141E-2</v>
      </c>
      <c r="M245" s="4">
        <v>5.7971176843259146E-3</v>
      </c>
      <c r="N245" s="4">
        <v>3.7213596340434273E-2</v>
      </c>
    </row>
  </sheetData>
  <dataConsolidate/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  <controls>
    <control shapeId="4097" r:id="rId3" name="CalReturn"/>
    <control shapeId="4098" r:id="rId4" name="Clear"/>
    <control shapeId="4099" r:id="rId5" name="PortOpt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M32"/>
  <sheetViews>
    <sheetView topLeftCell="A10" workbookViewId="0">
      <selection activeCell="J18" sqref="J18"/>
    </sheetView>
  </sheetViews>
  <sheetFormatPr defaultRowHeight="12.75"/>
  <cols>
    <col min="1" max="1" width="18.7109375" style="4" bestFit="1" customWidth="1"/>
    <col min="2" max="16384" width="9.140625" style="4"/>
  </cols>
  <sheetData>
    <row r="1" spans="1:11" ht="25.5">
      <c r="A1" s="3" t="s">
        <v>11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11">
      <c r="A2" s="5" t="s">
        <v>9</v>
      </c>
      <c r="B2" s="4">
        <v>6.0808599926073419E-3</v>
      </c>
      <c r="C2" s="4">
        <v>6.3238404502413536E-3</v>
      </c>
      <c r="D2" s="4">
        <v>5.4618009916624737E-3</v>
      </c>
      <c r="E2" s="4">
        <v>5.539769935069023E-3</v>
      </c>
      <c r="F2" s="4">
        <v>5.2636023998974945E-3</v>
      </c>
      <c r="G2" s="4">
        <v>4.8941285554774177E-3</v>
      </c>
      <c r="K2" s="18" t="s">
        <v>26</v>
      </c>
    </row>
    <row r="3" spans="1:11">
      <c r="A3" s="5" t="s">
        <v>10</v>
      </c>
      <c r="B3" s="4">
        <v>3.2806039906552661E-2</v>
      </c>
      <c r="C3" s="4">
        <v>3.5568418819438452E-2</v>
      </c>
      <c r="D3" s="4">
        <v>3.581908397105224E-2</v>
      </c>
      <c r="E3" s="4">
        <v>2.2163744675199392E-2</v>
      </c>
      <c r="F3" s="4">
        <v>4.0150279823980062E-2</v>
      </c>
      <c r="G3" s="4">
        <v>2.4288729476878376E-2</v>
      </c>
    </row>
    <row r="5" spans="1:11" ht="25.5">
      <c r="A5" s="3" t="s">
        <v>12</v>
      </c>
      <c r="B5" s="1" t="s">
        <v>3</v>
      </c>
      <c r="C5" s="1" t="s">
        <v>4</v>
      </c>
      <c r="D5" s="1" t="s">
        <v>5</v>
      </c>
      <c r="E5" s="1" t="s">
        <v>6</v>
      </c>
      <c r="F5" s="1" t="s">
        <v>7</v>
      </c>
      <c r="G5" s="1" t="s">
        <v>8</v>
      </c>
    </row>
    <row r="6" spans="1:11">
      <c r="A6" s="5" t="s">
        <v>3</v>
      </c>
      <c r="B6" s="4">
        <v>1.0717889971009441E-3</v>
      </c>
      <c r="C6" s="4">
        <v>3.5581249468976463E-4</v>
      </c>
      <c r="D6" s="4">
        <v>2.3417145731841556E-4</v>
      </c>
      <c r="E6" s="4">
        <v>2.1517722113443665E-4</v>
      </c>
      <c r="F6" s="4">
        <v>4.0755245852461123E-4</v>
      </c>
      <c r="G6" s="4">
        <v>4.6477258910594877E-4</v>
      </c>
    </row>
    <row r="7" spans="1:11">
      <c r="A7" s="5" t="s">
        <v>4</v>
      </c>
      <c r="B7" s="4">
        <v>3.5581249468976463E-4</v>
      </c>
      <c r="C7" s="4">
        <v>1.2598846800533508E-3</v>
      </c>
      <c r="D7" s="4">
        <v>3.3867843894079785E-4</v>
      </c>
      <c r="E7" s="4">
        <v>1.6534025817296463E-4</v>
      </c>
      <c r="F7" s="4">
        <v>4.7241101625910853E-4</v>
      </c>
      <c r="G7" s="4">
        <v>3.94977110008764E-4</v>
      </c>
    </row>
    <row r="8" spans="1:11">
      <c r="A8" s="5" t="s">
        <v>4</v>
      </c>
      <c r="B8" s="4">
        <v>2.3417145731841556E-4</v>
      </c>
      <c r="C8" s="4">
        <v>3.3867843894079785E-4</v>
      </c>
      <c r="D8" s="4">
        <v>1.2777050956305578E-3</v>
      </c>
      <c r="E8" s="4">
        <v>1.5278007235044211E-4</v>
      </c>
      <c r="F8" s="4">
        <v>3.5902653560663562E-4</v>
      </c>
      <c r="G8" s="4">
        <v>2.2674219365986412E-4</v>
      </c>
      <c r="K8" s="18" t="s">
        <v>27</v>
      </c>
    </row>
    <row r="9" spans="1:11">
      <c r="A9" s="5" t="s">
        <v>6</v>
      </c>
      <c r="B9" s="4">
        <v>2.1517722113443665E-4</v>
      </c>
      <c r="C9" s="4">
        <v>1.6534025817296463E-4</v>
      </c>
      <c r="D9" s="4">
        <v>1.5278007235044211E-4</v>
      </c>
      <c r="E9" s="4">
        <v>4.8920169547359677E-4</v>
      </c>
      <c r="F9" s="4">
        <v>2.3610760522972533E-4</v>
      </c>
      <c r="G9" s="4">
        <v>1.9476926083004795E-4</v>
      </c>
    </row>
    <row r="10" spans="1:11">
      <c r="A10" s="5" t="s">
        <v>7</v>
      </c>
      <c r="B10" s="4">
        <v>4.0755245852461123E-4</v>
      </c>
      <c r="C10" s="4">
        <v>4.7241101625910853E-4</v>
      </c>
      <c r="D10" s="4">
        <v>3.5902653560663562E-4</v>
      </c>
      <c r="E10" s="4">
        <v>2.3610760522972533E-4</v>
      </c>
      <c r="F10" s="4">
        <v>1.6053836270928919E-3</v>
      </c>
      <c r="G10" s="4">
        <v>3.2968126479369204E-4</v>
      </c>
    </row>
    <row r="11" spans="1:11">
      <c r="A11" s="5" t="s">
        <v>8</v>
      </c>
      <c r="B11" s="4">
        <v>4.6477258910594877E-4</v>
      </c>
      <c r="C11" s="4">
        <v>3.94977110008764E-4</v>
      </c>
      <c r="D11" s="4">
        <v>2.2674219365986412E-4</v>
      </c>
      <c r="E11" s="4">
        <v>1.9476926083004795E-4</v>
      </c>
      <c r="F11" s="4">
        <v>3.2968126479369204E-4</v>
      </c>
      <c r="G11" s="4">
        <v>5.8750460117287752E-4</v>
      </c>
    </row>
    <row r="13" spans="1:11" ht="25.5">
      <c r="A13" s="3" t="s">
        <v>13</v>
      </c>
      <c r="B13" s="1" t="s">
        <v>3</v>
      </c>
      <c r="C13" s="1" t="s">
        <v>4</v>
      </c>
      <c r="D13" s="1" t="s">
        <v>5</v>
      </c>
      <c r="E13" s="1" t="s">
        <v>6</v>
      </c>
      <c r="F13" s="1" t="s">
        <v>7</v>
      </c>
      <c r="G13" s="1" t="s">
        <v>8</v>
      </c>
    </row>
    <row r="14" spans="1:11">
      <c r="A14" s="5" t="s">
        <v>3</v>
      </c>
      <c r="B14" s="4">
        <v>0.99999999999999978</v>
      </c>
      <c r="C14" s="4">
        <v>0.3061971541761862</v>
      </c>
      <c r="D14" s="4">
        <v>0.20010779115855501</v>
      </c>
      <c r="E14" s="4">
        <v>0.29716500933716206</v>
      </c>
      <c r="F14" s="4">
        <v>0.31069871384689102</v>
      </c>
      <c r="G14" s="4">
        <v>0.58570674242863952</v>
      </c>
    </row>
    <row r="15" spans="1:11">
      <c r="A15" s="5" t="s">
        <v>4</v>
      </c>
      <c r="B15" s="4">
        <v>0.3061971541761862</v>
      </c>
      <c r="C15" s="4">
        <v>1</v>
      </c>
      <c r="D15" s="4">
        <v>0.26693580950224927</v>
      </c>
      <c r="E15" s="4">
        <v>0.21060527133551268</v>
      </c>
      <c r="F15" s="4">
        <v>0.33217366958571526</v>
      </c>
      <c r="G15" s="4">
        <v>0.45909323600259905</v>
      </c>
      <c r="K15" s="18" t="s">
        <v>28</v>
      </c>
    </row>
    <row r="16" spans="1:11">
      <c r="A16" s="5" t="s">
        <v>4</v>
      </c>
      <c r="B16" s="4">
        <v>0.20010779115855501</v>
      </c>
      <c r="C16" s="4">
        <v>0.26693580950224927</v>
      </c>
      <c r="D16" s="4">
        <v>1</v>
      </c>
      <c r="E16" s="4">
        <v>0.19324462415372315</v>
      </c>
      <c r="F16" s="4">
        <v>0.25068123193560482</v>
      </c>
      <c r="G16" s="4">
        <v>0.26170462297806124</v>
      </c>
    </row>
    <row r="17" spans="1:13">
      <c r="A17" s="5" t="s">
        <v>6</v>
      </c>
      <c r="B17" s="4">
        <v>0.29716500933716206</v>
      </c>
      <c r="C17" s="4">
        <v>0.21060527133551268</v>
      </c>
      <c r="D17" s="4">
        <v>0.19324462415372315</v>
      </c>
      <c r="E17" s="4">
        <v>0.99999999999999978</v>
      </c>
      <c r="F17" s="4">
        <v>0.26642598791666827</v>
      </c>
      <c r="G17" s="4">
        <v>0.36330452173431316</v>
      </c>
    </row>
    <row r="18" spans="1:13">
      <c r="A18" s="5" t="s">
        <v>7</v>
      </c>
      <c r="B18" s="4">
        <v>0.31069871384689102</v>
      </c>
      <c r="C18" s="4">
        <v>0.33217366958571526</v>
      </c>
      <c r="D18" s="4">
        <v>0.25068123193560482</v>
      </c>
      <c r="E18" s="4">
        <v>0.26642598791666827</v>
      </c>
      <c r="F18" s="4">
        <v>0.99999999999999989</v>
      </c>
      <c r="G18" s="4">
        <v>0.33946829321609079</v>
      </c>
    </row>
    <row r="19" spans="1:13">
      <c r="A19" s="5" t="s">
        <v>8</v>
      </c>
      <c r="B19" s="4">
        <v>0.58570674242863952</v>
      </c>
      <c r="C19" s="4">
        <v>0.45909323600259905</v>
      </c>
      <c r="D19" s="4">
        <v>0.26170462297806124</v>
      </c>
      <c r="E19" s="4">
        <v>0.36330452173431316</v>
      </c>
      <c r="F19" s="4">
        <v>0.33946829321609079</v>
      </c>
      <c r="G19" s="4">
        <v>1</v>
      </c>
    </row>
    <row r="21" spans="1:13" ht="25.5">
      <c r="A21" s="3" t="s">
        <v>14</v>
      </c>
      <c r="B21" s="1" t="s">
        <v>3</v>
      </c>
      <c r="C21" s="1" t="s">
        <v>4</v>
      </c>
      <c r="D21" s="1" t="s">
        <v>5</v>
      </c>
      <c r="E21" s="1" t="s">
        <v>6</v>
      </c>
      <c r="F21" s="1" t="s">
        <v>7</v>
      </c>
      <c r="G21" s="1" t="s">
        <v>8</v>
      </c>
    </row>
    <row r="22" spans="1:13">
      <c r="A22" s="5" t="s">
        <v>3</v>
      </c>
      <c r="B22" s="4">
        <v>0.99999999999999989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</row>
    <row r="23" spans="1:13">
      <c r="A23" s="5" t="s">
        <v>4</v>
      </c>
      <c r="B23" s="4">
        <v>0.30619715417618626</v>
      </c>
      <c r="C23" s="4">
        <v>0.9519681206712779</v>
      </c>
      <c r="D23" s="4">
        <v>0</v>
      </c>
      <c r="E23" s="4">
        <v>0</v>
      </c>
      <c r="F23" s="4">
        <v>0</v>
      </c>
      <c r="G23" s="4">
        <v>0</v>
      </c>
      <c r="K23" s="18" t="s">
        <v>29</v>
      </c>
    </row>
    <row r="24" spans="1:13">
      <c r="A24" s="5" t="s">
        <v>4</v>
      </c>
      <c r="B24" s="4">
        <v>0.20010779115855504</v>
      </c>
      <c r="C24" s="4">
        <v>0.2160401896399578</v>
      </c>
      <c r="D24" s="4">
        <v>0.95565867775999147</v>
      </c>
      <c r="E24" s="4">
        <v>0</v>
      </c>
      <c r="F24" s="4">
        <v>0</v>
      </c>
      <c r="G24" s="4">
        <v>0</v>
      </c>
    </row>
    <row r="25" spans="1:13">
      <c r="A25" s="5" t="s">
        <v>6</v>
      </c>
      <c r="B25" s="4">
        <v>0.29716500933716211</v>
      </c>
      <c r="C25" s="4">
        <v>0.12564936635839044</v>
      </c>
      <c r="D25" s="4">
        <v>0.11158196966242133</v>
      </c>
      <c r="E25" s="4">
        <v>0.93992268724913408</v>
      </c>
      <c r="F25" s="4">
        <v>0</v>
      </c>
      <c r="G25" s="4">
        <v>0</v>
      </c>
    </row>
    <row r="26" spans="1:13">
      <c r="A26" s="5" t="s">
        <v>7</v>
      </c>
      <c r="B26" s="4">
        <v>0.31069871384689107</v>
      </c>
      <c r="C26" s="4">
        <v>0.24899847216779572</v>
      </c>
      <c r="D26" s="4">
        <v>0.14096489110575725</v>
      </c>
      <c r="E26" s="4">
        <v>0.13520427050475975</v>
      </c>
      <c r="F26" s="4">
        <v>0.89627829092576417</v>
      </c>
      <c r="G26" s="4">
        <v>0</v>
      </c>
    </row>
    <row r="27" spans="1:13">
      <c r="A27" s="5" t="s">
        <v>8</v>
      </c>
      <c r="B27" s="4">
        <v>0.58570674242863963</v>
      </c>
      <c r="C27" s="4">
        <v>0.29386645646482257</v>
      </c>
      <c r="D27" s="4">
        <v>8.4772081691761494E-2</v>
      </c>
      <c r="E27" s="4">
        <v>0.15200165310772837</v>
      </c>
      <c r="F27" s="4">
        <v>5.7812962343424174E-2</v>
      </c>
      <c r="G27" s="4">
        <v>0.73277347839675577</v>
      </c>
    </row>
    <row r="29" spans="1:13">
      <c r="M29" s="18" t="s">
        <v>30</v>
      </c>
    </row>
    <row r="32" spans="1:13">
      <c r="M32" s="18" t="s">
        <v>31</v>
      </c>
    </row>
  </sheetData>
  <phoneticPr fontId="0" type="noConversion"/>
  <pageMargins left="0.75" right="0.75" top="1" bottom="1" header="0.5" footer="0.5"/>
  <pageSetup orientation="portrait" horizontalDpi="4294967295" verticalDpi="4294967295" r:id="rId1"/>
  <headerFooter alignWithMargins="0"/>
  <legacyDrawing r:id="rId2"/>
  <controls>
    <control shapeId="3074" r:id="rId3" name="CalDStat"/>
    <control shapeId="3075" r:id="rId4" name="CalCov"/>
    <control shapeId="3076" r:id="rId5" name="CalCorr"/>
    <control shapeId="3077" r:id="rId6" name="CalChol"/>
    <control shapeId="3078" r:id="rId7" name="CalCorrRandNum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23.223583667064663</v>
      </c>
      <c r="C2" s="9">
        <v>25.960791821609188</v>
      </c>
      <c r="D2" s="9">
        <v>27.776683820593924</v>
      </c>
      <c r="E2" s="9">
        <v>23.269995331429541</v>
      </c>
      <c r="F2" s="9">
        <v>23.334769188982552</v>
      </c>
      <c r="G2" s="9">
        <v>22.430858965796876</v>
      </c>
      <c r="H2" s="9">
        <v>19.877080629600314</v>
      </c>
      <c r="I2" s="9">
        <v>18.870946747217996</v>
      </c>
      <c r="J2" s="29">
        <v>20.43527273797406</v>
      </c>
      <c r="K2" s="9">
        <v>17.486092031189358</v>
      </c>
      <c r="L2" s="9">
        <v>19.066833053162256</v>
      </c>
      <c r="M2" s="9">
        <v>21.860443369693193</v>
      </c>
      <c r="N2" s="9">
        <v>22.996510142246439</v>
      </c>
      <c r="O2" s="9">
        <v>25.739701291250487</v>
      </c>
      <c r="P2" s="9">
        <v>28.585829555534584</v>
      </c>
    </row>
    <row r="3" spans="1:16">
      <c r="A3" s="26">
        <v>2</v>
      </c>
      <c r="B3" s="9">
        <v>28.455129565839577</v>
      </c>
      <c r="C3" s="9">
        <v>29.016937384719661</v>
      </c>
      <c r="D3" s="9">
        <v>30.913507458560776</v>
      </c>
      <c r="E3" s="9">
        <v>30.128646081077182</v>
      </c>
      <c r="F3" s="9">
        <v>30.419394357006247</v>
      </c>
      <c r="G3" s="9">
        <v>29.556745433558792</v>
      </c>
      <c r="H3" s="9">
        <v>30.421625490747044</v>
      </c>
      <c r="I3" s="9">
        <v>30.428740909005505</v>
      </c>
      <c r="J3" s="29">
        <v>31.876919323271554</v>
      </c>
      <c r="K3" s="9">
        <v>34.24644923622354</v>
      </c>
      <c r="L3" s="9">
        <v>36.532986521648631</v>
      </c>
      <c r="M3" s="9">
        <v>40.221612741840978</v>
      </c>
      <c r="N3" s="9">
        <v>41.820831768406947</v>
      </c>
      <c r="O3" s="9">
        <v>40.986851954692817</v>
      </c>
      <c r="P3" s="9">
        <v>41.573258225320792</v>
      </c>
    </row>
    <row r="4" spans="1:16">
      <c r="A4" s="26">
        <v>3</v>
      </c>
      <c r="B4" s="9">
        <v>27.218225625259901</v>
      </c>
      <c r="C4" s="9">
        <v>29.407114252268016</v>
      </c>
      <c r="D4" s="9">
        <v>26.290357696174947</v>
      </c>
      <c r="E4" s="9">
        <v>25.137811523845397</v>
      </c>
      <c r="F4" s="9">
        <v>24.617994993535248</v>
      </c>
      <c r="G4" s="9">
        <v>23.574542746243406</v>
      </c>
      <c r="H4" s="9">
        <v>20.79794707068125</v>
      </c>
      <c r="I4" s="9">
        <v>20.702438852170747</v>
      </c>
      <c r="J4" s="29">
        <v>21.376967674097198</v>
      </c>
      <c r="K4" s="9">
        <v>19.872926277474065</v>
      </c>
      <c r="L4" s="9">
        <v>20.023327726941883</v>
      </c>
      <c r="M4" s="9">
        <v>18.475597850077712</v>
      </c>
      <c r="N4" s="9">
        <v>19.661196470975582</v>
      </c>
      <c r="O4" s="9">
        <v>21.513280336649217</v>
      </c>
      <c r="P4" s="9">
        <v>20.760756376885354</v>
      </c>
    </row>
    <row r="5" spans="1:16">
      <c r="A5" s="26">
        <v>4</v>
      </c>
      <c r="B5" s="9">
        <v>34.261827013122584</v>
      </c>
      <c r="C5" s="9">
        <v>36.575284469257532</v>
      </c>
      <c r="D5" s="9">
        <v>37.419101365204874</v>
      </c>
      <c r="E5" s="9">
        <v>33.683789246944151</v>
      </c>
      <c r="F5" s="9">
        <v>32.800466287148062</v>
      </c>
      <c r="G5" s="9">
        <v>34.424125306318302</v>
      </c>
      <c r="H5" s="9">
        <v>40.66320680632375</v>
      </c>
      <c r="I5" s="9">
        <v>35.566814837190236</v>
      </c>
      <c r="J5" s="29">
        <v>35.797928867070794</v>
      </c>
      <c r="K5" s="9">
        <v>35.900544834202265</v>
      </c>
      <c r="L5" s="9">
        <v>30.59681822978132</v>
      </c>
      <c r="M5" s="9">
        <v>30.418304125683147</v>
      </c>
      <c r="N5" s="9">
        <v>26.565121240588173</v>
      </c>
      <c r="O5" s="9">
        <v>24.013487502079599</v>
      </c>
      <c r="P5" s="9">
        <v>20.719861874799388</v>
      </c>
    </row>
    <row r="6" spans="1:16">
      <c r="A6" s="26">
        <v>5</v>
      </c>
      <c r="B6" s="9">
        <v>33.189787386304204</v>
      </c>
      <c r="C6" s="9">
        <v>34.333609093774029</v>
      </c>
      <c r="D6" s="9">
        <v>32.197987758601641</v>
      </c>
      <c r="E6" s="9">
        <v>32.845391252215073</v>
      </c>
      <c r="F6" s="9">
        <v>32.401791995633523</v>
      </c>
      <c r="G6" s="9">
        <v>32.787632337212258</v>
      </c>
      <c r="H6" s="9">
        <v>29.222630675798928</v>
      </c>
      <c r="I6" s="9">
        <v>28.212037654553637</v>
      </c>
      <c r="J6" s="29">
        <v>27.857780186890423</v>
      </c>
      <c r="K6" s="9">
        <v>28.931538458897961</v>
      </c>
      <c r="L6" s="9">
        <v>30.795139479385259</v>
      </c>
      <c r="M6" s="9">
        <v>31.488428778821429</v>
      </c>
      <c r="N6" s="9">
        <v>26.406482429324395</v>
      </c>
      <c r="O6" s="9">
        <v>23.673558131605525</v>
      </c>
      <c r="P6" s="9">
        <v>23.107157323389135</v>
      </c>
    </row>
    <row r="7" spans="1:16">
      <c r="A7" s="26">
        <v>6</v>
      </c>
      <c r="B7" s="9">
        <v>29.189324752130421</v>
      </c>
      <c r="C7" s="9">
        <v>30.60755833742736</v>
      </c>
      <c r="D7" s="9">
        <v>35.781936809218934</v>
      </c>
      <c r="E7" s="9">
        <v>34.846756204173637</v>
      </c>
      <c r="F7" s="9">
        <v>32.857907281454949</v>
      </c>
      <c r="G7" s="9">
        <v>36.214989236232363</v>
      </c>
      <c r="H7" s="9">
        <v>34.153523008089167</v>
      </c>
      <c r="I7" s="9">
        <v>32.284178516817583</v>
      </c>
      <c r="J7" s="29">
        <v>36.242125385985723</v>
      </c>
      <c r="K7" s="9">
        <v>42.021877829736667</v>
      </c>
      <c r="L7" s="9">
        <v>44.56338748740005</v>
      </c>
      <c r="M7" s="9">
        <v>41.652046600476034</v>
      </c>
      <c r="N7" s="9">
        <v>40.231950069826219</v>
      </c>
      <c r="O7" s="9">
        <v>41.22024299284233</v>
      </c>
      <c r="P7" s="9">
        <v>45.576339321500342</v>
      </c>
    </row>
    <row r="8" spans="1:16">
      <c r="A8" s="26">
        <v>7</v>
      </c>
      <c r="B8" s="9">
        <v>28.284691093484938</v>
      </c>
      <c r="C8" s="9">
        <v>29.460702081389353</v>
      </c>
      <c r="D8" s="9">
        <v>34.589335718300795</v>
      </c>
      <c r="E8" s="9">
        <v>35.968318826672146</v>
      </c>
      <c r="F8" s="9">
        <v>27.519883259746596</v>
      </c>
      <c r="G8" s="9">
        <v>27.811829957770982</v>
      </c>
      <c r="H8" s="9">
        <v>27.663672253868807</v>
      </c>
      <c r="I8" s="9">
        <v>27.975262142815911</v>
      </c>
      <c r="J8" s="29">
        <v>21.833621392248126</v>
      </c>
      <c r="K8" s="9">
        <v>24.840948946428608</v>
      </c>
      <c r="L8" s="9">
        <v>25.613863556303478</v>
      </c>
      <c r="M8" s="9">
        <v>25.644446810070928</v>
      </c>
      <c r="N8" s="9">
        <v>20.26632151530195</v>
      </c>
      <c r="O8" s="9">
        <v>16.069496129194615</v>
      </c>
      <c r="P8" s="9">
        <v>14.826708908758578</v>
      </c>
    </row>
    <row r="9" spans="1:16">
      <c r="A9" s="26">
        <v>8</v>
      </c>
      <c r="B9" s="9">
        <v>27.337985987663391</v>
      </c>
      <c r="C9" s="9">
        <v>29.168335663629232</v>
      </c>
      <c r="D9" s="9">
        <v>30.750877153255416</v>
      </c>
      <c r="E9" s="9">
        <v>28.736030205290696</v>
      </c>
      <c r="F9" s="9">
        <v>28.644771559771947</v>
      </c>
      <c r="G9" s="9">
        <v>24.358764078905498</v>
      </c>
      <c r="H9" s="9">
        <v>23.113119469590476</v>
      </c>
      <c r="I9" s="9">
        <v>28.191109122557258</v>
      </c>
      <c r="J9" s="29">
        <v>28.430363253485591</v>
      </c>
      <c r="K9" s="9">
        <v>30.6681681805936</v>
      </c>
      <c r="L9" s="9">
        <v>33.932755311027087</v>
      </c>
      <c r="M9" s="9">
        <v>34.882112325774898</v>
      </c>
      <c r="N9" s="9">
        <v>36.102134729868745</v>
      </c>
      <c r="O9" s="9">
        <v>36.634861358821659</v>
      </c>
      <c r="P9" s="9">
        <v>35.600606059119905</v>
      </c>
    </row>
    <row r="10" spans="1:16">
      <c r="A10" s="26">
        <v>9</v>
      </c>
      <c r="B10" s="9">
        <v>25.058632797006016</v>
      </c>
      <c r="C10" s="9">
        <v>22.71267733642194</v>
      </c>
      <c r="D10" s="9">
        <v>25.467790130747144</v>
      </c>
      <c r="E10" s="9">
        <v>29.712481387822951</v>
      </c>
      <c r="F10" s="9">
        <v>29.758433537555121</v>
      </c>
      <c r="G10" s="9">
        <v>30.800017138282936</v>
      </c>
      <c r="H10" s="9">
        <v>28.383417993114467</v>
      </c>
      <c r="I10" s="9">
        <v>27.665791949866303</v>
      </c>
      <c r="J10" s="29">
        <v>25.45693785104443</v>
      </c>
      <c r="K10" s="9">
        <v>25.691349383570412</v>
      </c>
      <c r="L10" s="9">
        <v>22.912650013432927</v>
      </c>
      <c r="M10" s="9">
        <v>20.473354099615356</v>
      </c>
      <c r="N10" s="9">
        <v>20.400315488725823</v>
      </c>
      <c r="O10" s="9">
        <v>19.197487183788951</v>
      </c>
      <c r="P10" s="9">
        <v>17.75229426357452</v>
      </c>
    </row>
    <row r="11" spans="1:16">
      <c r="A11" s="26">
        <v>10</v>
      </c>
      <c r="B11" s="9">
        <v>28.931363844210551</v>
      </c>
      <c r="C11" s="9">
        <v>35.148748525921548</v>
      </c>
      <c r="D11" s="9">
        <v>28.996345994530863</v>
      </c>
      <c r="E11" s="9">
        <v>28.444638489649424</v>
      </c>
      <c r="F11" s="9">
        <v>26.144477185248402</v>
      </c>
      <c r="G11" s="9">
        <v>25.790390471884383</v>
      </c>
      <c r="H11" s="9">
        <v>25.477086517312031</v>
      </c>
      <c r="I11" s="9">
        <v>28.680814360926149</v>
      </c>
      <c r="J11" s="29">
        <v>29.688367085762518</v>
      </c>
      <c r="K11" s="9">
        <v>28.246041334035255</v>
      </c>
      <c r="L11" s="9">
        <v>27.939148039869643</v>
      </c>
      <c r="M11" s="9">
        <v>22.99043314975572</v>
      </c>
      <c r="N11" s="9">
        <v>24.812695240528285</v>
      </c>
      <c r="O11" s="9">
        <v>23.263067229058215</v>
      </c>
      <c r="P11" s="9">
        <v>23.486373796398507</v>
      </c>
    </row>
    <row r="12" spans="1:16">
      <c r="A12" s="26">
        <v>11</v>
      </c>
      <c r="B12" s="9">
        <v>32.128786890992679</v>
      </c>
      <c r="C12" s="9">
        <v>33.401461821613076</v>
      </c>
      <c r="D12" s="9">
        <v>36.007841898250327</v>
      </c>
      <c r="E12" s="9">
        <v>33.705603289545138</v>
      </c>
      <c r="F12" s="9">
        <v>30.474827753695457</v>
      </c>
      <c r="G12" s="9">
        <v>30.601111846938732</v>
      </c>
      <c r="H12" s="9">
        <v>34.495437029126442</v>
      </c>
      <c r="I12" s="9">
        <v>34.489353200447795</v>
      </c>
      <c r="J12" s="29">
        <v>32.0921180598584</v>
      </c>
      <c r="K12" s="9">
        <v>31.478790229440712</v>
      </c>
      <c r="L12" s="9">
        <v>31.921749883331561</v>
      </c>
      <c r="M12" s="9">
        <v>30.186146578957661</v>
      </c>
      <c r="N12" s="9">
        <v>30.492044797471596</v>
      </c>
      <c r="O12" s="9">
        <v>29.321607500735286</v>
      </c>
      <c r="P12" s="9">
        <v>27.603147470786222</v>
      </c>
    </row>
    <row r="13" spans="1:16">
      <c r="A13" s="26">
        <v>12</v>
      </c>
      <c r="B13" s="9">
        <v>34.965102011839008</v>
      </c>
      <c r="C13" s="9">
        <v>33.837306040914619</v>
      </c>
      <c r="D13" s="9">
        <v>34.008433571063378</v>
      </c>
      <c r="E13" s="9">
        <v>36.917327045985921</v>
      </c>
      <c r="F13" s="9">
        <v>39.278187001030211</v>
      </c>
      <c r="G13" s="9">
        <v>38.433223650325132</v>
      </c>
      <c r="H13" s="9">
        <v>34.87911270198714</v>
      </c>
      <c r="I13" s="9">
        <v>36.108367300784025</v>
      </c>
      <c r="J13" s="29">
        <v>30.322945266638413</v>
      </c>
      <c r="K13" s="9">
        <v>29.407471709857266</v>
      </c>
      <c r="L13" s="9">
        <v>27.896132793498676</v>
      </c>
      <c r="M13" s="9">
        <v>21.700108300660787</v>
      </c>
      <c r="N13" s="9">
        <v>22.318670304511748</v>
      </c>
      <c r="O13" s="9">
        <v>21.433023041679863</v>
      </c>
      <c r="P13" s="9">
        <v>20.511433337269747</v>
      </c>
    </row>
    <row r="14" spans="1:16">
      <c r="A14" s="26">
        <v>13</v>
      </c>
      <c r="B14" s="9">
        <v>29.87439826259061</v>
      </c>
      <c r="C14" s="9">
        <v>34.464787839375219</v>
      </c>
      <c r="D14" s="9">
        <v>40.391748603223938</v>
      </c>
      <c r="E14" s="9">
        <v>40.930315976973802</v>
      </c>
      <c r="F14" s="9">
        <v>35.377027389489946</v>
      </c>
      <c r="G14" s="9">
        <v>30.466353463946877</v>
      </c>
      <c r="H14" s="9">
        <v>27.956928028159822</v>
      </c>
      <c r="I14" s="9">
        <v>26.205564197706039</v>
      </c>
      <c r="J14" s="29">
        <v>27.39692822933991</v>
      </c>
      <c r="K14" s="9">
        <v>25.610956843782958</v>
      </c>
      <c r="L14" s="9">
        <v>26.549132877351475</v>
      </c>
      <c r="M14" s="9">
        <v>23.138826758280882</v>
      </c>
      <c r="N14" s="9">
        <v>21.708475940393097</v>
      </c>
      <c r="O14" s="9">
        <v>20.188118493433549</v>
      </c>
      <c r="P14" s="9">
        <v>19.006136018226449</v>
      </c>
    </row>
    <row r="15" spans="1:16">
      <c r="A15" s="26">
        <v>14</v>
      </c>
      <c r="B15" s="9">
        <v>30.400018969708832</v>
      </c>
      <c r="C15" s="9">
        <v>26.690363995887477</v>
      </c>
      <c r="D15" s="9">
        <v>28.201083518900035</v>
      </c>
      <c r="E15" s="9">
        <v>29.887845642412941</v>
      </c>
      <c r="F15" s="9">
        <v>30.294580713495783</v>
      </c>
      <c r="G15" s="9">
        <v>26.227997820597654</v>
      </c>
      <c r="H15" s="9">
        <v>30.141613015522548</v>
      </c>
      <c r="I15" s="9">
        <v>28.565333874329799</v>
      </c>
      <c r="J15" s="29">
        <v>26.946465130125343</v>
      </c>
      <c r="K15" s="9">
        <v>26.468806007802392</v>
      </c>
      <c r="L15" s="9">
        <v>29.07949490455664</v>
      </c>
      <c r="M15" s="9">
        <v>32.159121821742168</v>
      </c>
      <c r="N15" s="9">
        <v>34.210500173903711</v>
      </c>
      <c r="O15" s="9">
        <v>37.723117244745261</v>
      </c>
      <c r="P15" s="9">
        <v>45.900224328811063</v>
      </c>
    </row>
    <row r="16" spans="1:16">
      <c r="A16" s="26">
        <v>15</v>
      </c>
      <c r="B16" s="9">
        <v>29.139536079672919</v>
      </c>
      <c r="C16" s="9">
        <v>25.249782580440744</v>
      </c>
      <c r="D16" s="9">
        <v>23.787362729588246</v>
      </c>
      <c r="E16" s="9">
        <v>22.368917952651611</v>
      </c>
      <c r="F16" s="9">
        <v>18.876033536534553</v>
      </c>
      <c r="G16" s="9">
        <v>17.887610051902175</v>
      </c>
      <c r="H16" s="9">
        <v>16.532359614222539</v>
      </c>
      <c r="I16" s="9">
        <v>19.25148948190575</v>
      </c>
      <c r="J16" s="29">
        <v>17.909872859687777</v>
      </c>
      <c r="K16" s="9">
        <v>18.70518885759455</v>
      </c>
      <c r="L16" s="9">
        <v>18.255055818111327</v>
      </c>
      <c r="M16" s="9">
        <v>19.485844273030743</v>
      </c>
      <c r="N16" s="9">
        <v>18.489112301542551</v>
      </c>
      <c r="O16" s="9">
        <v>16.381760716830783</v>
      </c>
      <c r="P16" s="9">
        <v>15.143915488797344</v>
      </c>
    </row>
    <row r="17" spans="1:16">
      <c r="A17" s="26">
        <v>16</v>
      </c>
      <c r="B17" s="9">
        <v>28.377457221417487</v>
      </c>
      <c r="C17" s="9">
        <v>28.405041221700895</v>
      </c>
      <c r="D17" s="9">
        <v>30.53173954236129</v>
      </c>
      <c r="E17" s="9">
        <v>35.75124555999902</v>
      </c>
      <c r="F17" s="9">
        <v>32.134941229314279</v>
      </c>
      <c r="G17" s="9">
        <v>31.631643716812629</v>
      </c>
      <c r="H17" s="9">
        <v>28.867325836824275</v>
      </c>
      <c r="I17" s="9">
        <v>31.771908565110145</v>
      </c>
      <c r="J17" s="29">
        <v>34.60326849031739</v>
      </c>
      <c r="K17" s="9">
        <v>37.06218306796287</v>
      </c>
      <c r="L17" s="9">
        <v>39.982145424911778</v>
      </c>
      <c r="M17" s="9">
        <v>40.966361280637365</v>
      </c>
      <c r="N17" s="9">
        <v>45.96496108590722</v>
      </c>
      <c r="O17" s="9">
        <v>42.866822294731591</v>
      </c>
      <c r="P17" s="9">
        <v>44.960004168150448</v>
      </c>
    </row>
    <row r="18" spans="1:16">
      <c r="A18" s="26">
        <v>17</v>
      </c>
      <c r="B18" s="9">
        <v>28.486105930490194</v>
      </c>
      <c r="C18" s="9">
        <v>30.109534961390757</v>
      </c>
      <c r="D18" s="9">
        <v>30.508266296848074</v>
      </c>
      <c r="E18" s="9">
        <v>32.496132662125781</v>
      </c>
      <c r="F18" s="9">
        <v>37.206386850413423</v>
      </c>
      <c r="G18" s="9">
        <v>35.878348793510071</v>
      </c>
      <c r="H18" s="9">
        <v>40.560231550736312</v>
      </c>
      <c r="I18" s="9">
        <v>44.90044409469089</v>
      </c>
      <c r="J18" s="29">
        <v>41.191095613595692</v>
      </c>
      <c r="K18" s="9">
        <v>40.843639593224758</v>
      </c>
      <c r="L18" s="9">
        <v>38.433334850072917</v>
      </c>
      <c r="M18" s="9">
        <v>36.386791820127051</v>
      </c>
      <c r="N18" s="9">
        <v>32.657013074731992</v>
      </c>
      <c r="O18" s="9">
        <v>29.822229747274182</v>
      </c>
      <c r="P18" s="9">
        <v>30.809376797182086</v>
      </c>
    </row>
    <row r="19" spans="1:16">
      <c r="A19" s="26">
        <v>18</v>
      </c>
      <c r="B19" s="9">
        <v>27.875199093108293</v>
      </c>
      <c r="C19" s="9">
        <v>27.064260552242654</v>
      </c>
      <c r="D19" s="9">
        <v>22.472963852958166</v>
      </c>
      <c r="E19" s="9">
        <v>21.939595479217537</v>
      </c>
      <c r="F19" s="9">
        <v>20.471191770039063</v>
      </c>
      <c r="G19" s="9">
        <v>20.101611378693601</v>
      </c>
      <c r="H19" s="9">
        <v>20.31153921281944</v>
      </c>
      <c r="I19" s="9">
        <v>21.150946364085762</v>
      </c>
      <c r="J19" s="29">
        <v>21.006663643582918</v>
      </c>
      <c r="K19" s="9">
        <v>20.932928244320074</v>
      </c>
      <c r="L19" s="9">
        <v>22.364007841516873</v>
      </c>
      <c r="M19" s="9">
        <v>23.552301342609852</v>
      </c>
      <c r="N19" s="9">
        <v>20.719320650317016</v>
      </c>
      <c r="O19" s="9">
        <v>20.098388892755075</v>
      </c>
      <c r="P19" s="9">
        <v>19.407345531758239</v>
      </c>
    </row>
    <row r="20" spans="1:16">
      <c r="A20" s="26">
        <v>19</v>
      </c>
      <c r="B20" s="9">
        <v>33.090311599605116</v>
      </c>
      <c r="C20" s="9">
        <v>34.278578716840983</v>
      </c>
      <c r="D20" s="9">
        <v>34.318734521956983</v>
      </c>
      <c r="E20" s="9">
        <v>36.454175855481949</v>
      </c>
      <c r="F20" s="9">
        <v>35.231140264858844</v>
      </c>
      <c r="G20" s="9">
        <v>39.797483401262767</v>
      </c>
      <c r="H20" s="9">
        <v>35.39174069038193</v>
      </c>
      <c r="I20" s="9">
        <v>41.283310567370783</v>
      </c>
      <c r="J20" s="29">
        <v>45.825251141954894</v>
      </c>
      <c r="K20" s="9">
        <v>45.488785235307695</v>
      </c>
      <c r="L20" s="9">
        <v>49.629772405983047</v>
      </c>
      <c r="M20" s="9">
        <v>46.383722035712061</v>
      </c>
      <c r="N20" s="9">
        <v>47.657546233405931</v>
      </c>
      <c r="O20" s="9">
        <v>52.275349157109169</v>
      </c>
      <c r="P20" s="9">
        <v>57.824659204699032</v>
      </c>
    </row>
    <row r="21" spans="1:16">
      <c r="A21" s="26">
        <v>20</v>
      </c>
      <c r="B21" s="9">
        <v>29.816515135834393</v>
      </c>
      <c r="C21" s="9">
        <v>31.134581751440258</v>
      </c>
      <c r="D21" s="9">
        <v>33.719976912475275</v>
      </c>
      <c r="E21" s="9">
        <v>32.786119768744534</v>
      </c>
      <c r="F21" s="9">
        <v>33.478988943750181</v>
      </c>
      <c r="G21" s="9">
        <v>34.315736878845456</v>
      </c>
      <c r="H21" s="9">
        <v>35.51143416692743</v>
      </c>
      <c r="I21" s="9">
        <v>35.418188518763429</v>
      </c>
      <c r="J21" s="29">
        <v>31.950752956145479</v>
      </c>
      <c r="K21" s="9">
        <v>34.433144675112153</v>
      </c>
      <c r="L21" s="9">
        <v>30.983870619643522</v>
      </c>
      <c r="M21" s="9">
        <v>31.49673657278208</v>
      </c>
      <c r="N21" s="9">
        <v>28.932453977284887</v>
      </c>
      <c r="O21" s="9">
        <v>28.870294490603275</v>
      </c>
      <c r="P21" s="9">
        <v>30.816126455330807</v>
      </c>
    </row>
    <row r="22" spans="1:16">
      <c r="A22" s="26">
        <v>21</v>
      </c>
      <c r="B22" s="9">
        <v>30.726661207019294</v>
      </c>
      <c r="C22" s="9">
        <v>31.442460616845789</v>
      </c>
      <c r="D22" s="9">
        <v>30.815797101941779</v>
      </c>
      <c r="E22" s="9">
        <v>26.845284297253571</v>
      </c>
      <c r="F22" s="9">
        <v>27.928913347376113</v>
      </c>
      <c r="G22" s="9">
        <v>28.6371778452821</v>
      </c>
      <c r="H22" s="9">
        <v>21.808382124338998</v>
      </c>
      <c r="I22" s="9">
        <v>21.419127181819505</v>
      </c>
      <c r="J22" s="29">
        <v>21.695673258338658</v>
      </c>
      <c r="K22" s="9">
        <v>22.195131547385337</v>
      </c>
      <c r="L22" s="9">
        <v>22.223530274274086</v>
      </c>
      <c r="M22" s="9">
        <v>22.995190240390592</v>
      </c>
      <c r="N22" s="9">
        <v>24.345900559700951</v>
      </c>
      <c r="O22" s="9">
        <v>27.83909990347545</v>
      </c>
      <c r="P22" s="9">
        <v>26.495780959576813</v>
      </c>
    </row>
    <row r="23" spans="1:16">
      <c r="A23" s="26">
        <v>22</v>
      </c>
      <c r="B23" s="9">
        <v>30.164537778813624</v>
      </c>
      <c r="C23" s="9">
        <v>32.067241123320393</v>
      </c>
      <c r="D23" s="9">
        <v>36.808640379071356</v>
      </c>
      <c r="E23" s="9">
        <v>34.495976545275042</v>
      </c>
      <c r="F23" s="9">
        <v>39.325053053209231</v>
      </c>
      <c r="G23" s="9">
        <v>38.643343793516912</v>
      </c>
      <c r="H23" s="9">
        <v>41.749810805757399</v>
      </c>
      <c r="I23" s="9">
        <v>38.371482746155579</v>
      </c>
      <c r="J23" s="29">
        <v>41.053975137590541</v>
      </c>
      <c r="K23" s="9">
        <v>43.008041907738615</v>
      </c>
      <c r="L23" s="9">
        <v>44.414901469389008</v>
      </c>
      <c r="M23" s="9">
        <v>55.057796156534728</v>
      </c>
      <c r="N23" s="9">
        <v>52.083332712661779</v>
      </c>
      <c r="O23" s="9">
        <v>51.706499559648478</v>
      </c>
      <c r="P23" s="9">
        <v>46.162120901512395</v>
      </c>
    </row>
    <row r="24" spans="1:16">
      <c r="A24" s="26">
        <v>23</v>
      </c>
      <c r="B24" s="9">
        <v>27.077890754883857</v>
      </c>
      <c r="C24" s="9">
        <v>28.997788264384251</v>
      </c>
      <c r="D24" s="9">
        <v>29.560041257264587</v>
      </c>
      <c r="E24" s="9">
        <v>26.941686393895178</v>
      </c>
      <c r="F24" s="9">
        <v>28.742582495653615</v>
      </c>
      <c r="G24" s="9">
        <v>30.35960065286924</v>
      </c>
      <c r="H24" s="9">
        <v>33.764281513641031</v>
      </c>
      <c r="I24" s="9">
        <v>33.190346537765002</v>
      </c>
      <c r="J24" s="29">
        <v>35.763852659323554</v>
      </c>
      <c r="K24" s="9">
        <v>32.334280916481944</v>
      </c>
      <c r="L24" s="9">
        <v>33.193424340057824</v>
      </c>
      <c r="M24" s="9">
        <v>31.803871543692264</v>
      </c>
      <c r="N24" s="9">
        <v>29.50369689362967</v>
      </c>
      <c r="O24" s="9">
        <v>28.89168737383029</v>
      </c>
      <c r="P24" s="9">
        <v>30.377459451322778</v>
      </c>
    </row>
    <row r="25" spans="1:16">
      <c r="A25" s="26">
        <v>24</v>
      </c>
      <c r="B25" s="9">
        <v>24.456726202535119</v>
      </c>
      <c r="C25" s="9">
        <v>25.310384623571679</v>
      </c>
      <c r="D25" s="9">
        <v>24.319160613843867</v>
      </c>
      <c r="E25" s="9">
        <v>25.032763373285061</v>
      </c>
      <c r="F25" s="9">
        <v>26.935399768841123</v>
      </c>
      <c r="G25" s="9">
        <v>32.26935986696013</v>
      </c>
      <c r="H25" s="9">
        <v>34.040879586481218</v>
      </c>
      <c r="I25" s="9">
        <v>34.496073480993331</v>
      </c>
      <c r="J25" s="29">
        <v>29.791884397382976</v>
      </c>
      <c r="K25" s="9">
        <v>25.188200381220106</v>
      </c>
      <c r="L25" s="9">
        <v>29.205271482242495</v>
      </c>
      <c r="M25" s="9">
        <v>30.341778123834573</v>
      </c>
      <c r="N25" s="9">
        <v>28.974451188048864</v>
      </c>
      <c r="O25" s="9">
        <v>29.415654406843796</v>
      </c>
      <c r="P25" s="9">
        <v>26.497107235155934</v>
      </c>
    </row>
    <row r="26" spans="1:16">
      <c r="A26" s="26">
        <v>25</v>
      </c>
      <c r="B26" s="9">
        <v>23.84385912785303</v>
      </c>
      <c r="C26" s="9">
        <v>26.634700865982378</v>
      </c>
      <c r="D26" s="9">
        <v>29.741543225864149</v>
      </c>
      <c r="E26" s="9">
        <v>27.598623744516981</v>
      </c>
      <c r="F26" s="9">
        <v>30.423168279357235</v>
      </c>
      <c r="G26" s="9">
        <v>28.80623788237023</v>
      </c>
      <c r="H26" s="9">
        <v>30.06586316134749</v>
      </c>
      <c r="I26" s="9">
        <v>28.130076064240466</v>
      </c>
      <c r="J26" s="29">
        <v>32.800130870615881</v>
      </c>
      <c r="K26" s="9">
        <v>31.691288003123134</v>
      </c>
      <c r="L26" s="9">
        <v>33.767950426740185</v>
      </c>
      <c r="M26" s="9">
        <v>34.030031778729892</v>
      </c>
      <c r="N26" s="9">
        <v>39.58740165385241</v>
      </c>
      <c r="O26" s="9">
        <v>42.980515121217138</v>
      </c>
      <c r="P26" s="9">
        <v>47.90200383465853</v>
      </c>
    </row>
    <row r="27" spans="1:16">
      <c r="A27" s="26">
        <v>26</v>
      </c>
      <c r="B27" s="9">
        <v>31.586022514483801</v>
      </c>
      <c r="C27" s="9">
        <v>31.740593990819463</v>
      </c>
      <c r="D27" s="9">
        <v>33.179088665751785</v>
      </c>
      <c r="E27" s="9">
        <v>32.724818181684782</v>
      </c>
      <c r="F27" s="9">
        <v>29.138066879497465</v>
      </c>
      <c r="G27" s="9">
        <v>26.91224632255452</v>
      </c>
      <c r="H27" s="9">
        <v>26.206626594632329</v>
      </c>
      <c r="I27" s="9">
        <v>29.29502573706138</v>
      </c>
      <c r="J27" s="29">
        <v>26.180422325221233</v>
      </c>
      <c r="K27" s="9">
        <v>24.899603997821828</v>
      </c>
      <c r="L27" s="9">
        <v>26.301069094350993</v>
      </c>
      <c r="M27" s="9">
        <v>23.456308245518809</v>
      </c>
      <c r="N27" s="9">
        <v>28.044838202652212</v>
      </c>
      <c r="O27" s="9">
        <v>29.624821066580669</v>
      </c>
      <c r="P27" s="9">
        <v>29.570886880051997</v>
      </c>
    </row>
    <row r="28" spans="1:16">
      <c r="A28" s="26">
        <v>27</v>
      </c>
      <c r="B28" s="9">
        <v>26.81857142157833</v>
      </c>
      <c r="C28" s="9">
        <v>28.261161377913087</v>
      </c>
      <c r="D28" s="9">
        <v>32.249669200158891</v>
      </c>
      <c r="E28" s="9">
        <v>26.683820912145798</v>
      </c>
      <c r="F28" s="9">
        <v>25.038581904232117</v>
      </c>
      <c r="G28" s="9">
        <v>24.557660409550575</v>
      </c>
      <c r="H28" s="9">
        <v>26.294390666530809</v>
      </c>
      <c r="I28" s="9">
        <v>30.774286218849273</v>
      </c>
      <c r="J28" s="29">
        <v>29.207312816484624</v>
      </c>
      <c r="K28" s="9">
        <v>26.38957877615362</v>
      </c>
      <c r="L28" s="9">
        <v>30.012396350731002</v>
      </c>
      <c r="M28" s="9">
        <v>25.053856289323068</v>
      </c>
      <c r="N28" s="9">
        <v>30.050054885799373</v>
      </c>
      <c r="O28" s="9">
        <v>26.939847571579342</v>
      </c>
      <c r="P28" s="9">
        <v>24.980627663054459</v>
      </c>
    </row>
    <row r="29" spans="1:16">
      <c r="A29" s="26">
        <v>28</v>
      </c>
      <c r="B29" s="9">
        <v>25.10311129443437</v>
      </c>
      <c r="C29" s="9">
        <v>24.585640139289556</v>
      </c>
      <c r="D29" s="9">
        <v>26.231994122877314</v>
      </c>
      <c r="E29" s="9">
        <v>28.112397153659117</v>
      </c>
      <c r="F29" s="9">
        <v>30.060694513318236</v>
      </c>
      <c r="G29" s="9">
        <v>28.243957796081066</v>
      </c>
      <c r="H29" s="9">
        <v>28.567321218725006</v>
      </c>
      <c r="I29" s="9">
        <v>31.668637946881141</v>
      </c>
      <c r="J29" s="29">
        <v>31.55539920170186</v>
      </c>
      <c r="K29" s="9">
        <v>25.896861220391948</v>
      </c>
      <c r="L29" s="9">
        <v>25.512017418348474</v>
      </c>
      <c r="M29" s="9">
        <v>26.71325214924131</v>
      </c>
      <c r="N29" s="9">
        <v>24.786476873041817</v>
      </c>
      <c r="O29" s="9">
        <v>22.056076773394278</v>
      </c>
      <c r="P29" s="9">
        <v>18.978390088619598</v>
      </c>
    </row>
    <row r="30" spans="1:16">
      <c r="A30" s="26">
        <v>29</v>
      </c>
      <c r="B30" s="9">
        <v>28.232632939933087</v>
      </c>
      <c r="C30" s="9">
        <v>25.81617457858686</v>
      </c>
      <c r="D30" s="9">
        <v>24.08747481153906</v>
      </c>
      <c r="E30" s="9">
        <v>24.466883590296401</v>
      </c>
      <c r="F30" s="9">
        <v>20.230492253936333</v>
      </c>
      <c r="G30" s="9">
        <v>23.137270003657267</v>
      </c>
      <c r="H30" s="9">
        <v>29.34506262945094</v>
      </c>
      <c r="I30" s="9">
        <v>29.191848178535697</v>
      </c>
      <c r="J30" s="29">
        <v>28.982476074827037</v>
      </c>
      <c r="K30" s="9">
        <v>30.321455336211187</v>
      </c>
      <c r="L30" s="9">
        <v>29.052593895367615</v>
      </c>
      <c r="M30" s="9">
        <v>24.966991011549634</v>
      </c>
      <c r="N30" s="9">
        <v>25.813752059488202</v>
      </c>
      <c r="O30" s="9">
        <v>25.278281366477977</v>
      </c>
      <c r="P30" s="9">
        <v>23.238181873365193</v>
      </c>
    </row>
    <row r="31" spans="1:16">
      <c r="A31" s="26">
        <v>30</v>
      </c>
      <c r="B31" s="9">
        <v>29.437021090188548</v>
      </c>
      <c r="C31" s="9">
        <v>28.952471265922689</v>
      </c>
      <c r="D31" s="9">
        <v>23.879391952653947</v>
      </c>
      <c r="E31" s="9">
        <v>20.578898229461153</v>
      </c>
      <c r="F31" s="9">
        <v>20.936945185019955</v>
      </c>
      <c r="G31" s="9">
        <v>19.115945632274865</v>
      </c>
      <c r="H31" s="9">
        <v>18.01421644908379</v>
      </c>
      <c r="I31" s="9">
        <v>18.965371990054773</v>
      </c>
      <c r="J31" s="29">
        <v>19.762219672238</v>
      </c>
      <c r="K31" s="9">
        <v>20.128023277249518</v>
      </c>
      <c r="L31" s="9">
        <v>20.3030848768752</v>
      </c>
      <c r="M31" s="9">
        <v>22.629086942545079</v>
      </c>
      <c r="N31" s="9">
        <v>19.948643092611341</v>
      </c>
      <c r="O31" s="9">
        <v>20.754088258272386</v>
      </c>
      <c r="P31" s="9">
        <v>21.651166548351629</v>
      </c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9"/>
  <dimension ref="A1:W31"/>
  <sheetViews>
    <sheetView tabSelected="1" workbookViewId="0">
      <selection activeCell="O31" sqref="O2:S31"/>
    </sheetView>
  </sheetViews>
  <sheetFormatPr defaultRowHeight="12.75"/>
  <cols>
    <col min="22" max="22" width="16" bestFit="1" customWidth="1"/>
    <col min="23" max="23" width="12" bestFit="1" customWidth="1"/>
  </cols>
  <sheetData>
    <row r="1" spans="1:23">
      <c r="A1" s="39" t="s">
        <v>44</v>
      </c>
      <c r="B1" s="40"/>
      <c r="C1" s="40"/>
      <c r="D1" s="40"/>
      <c r="E1" s="40"/>
      <c r="F1" s="40"/>
      <c r="O1" s="41" t="s">
        <v>45</v>
      </c>
      <c r="P1" s="42"/>
      <c r="Q1" s="42"/>
      <c r="R1" s="42"/>
      <c r="S1" s="42"/>
      <c r="T1" s="42"/>
      <c r="V1" s="43" t="s">
        <v>46</v>
      </c>
      <c r="W1" s="43" t="s">
        <v>47</v>
      </c>
    </row>
    <row r="2" spans="1:23">
      <c r="A2">
        <v>1.1237996565530217</v>
      </c>
      <c r="B2">
        <v>0.72639695391325798</v>
      </c>
      <c r="C2">
        <v>-0.57723860540217609</v>
      </c>
      <c r="D2">
        <v>0.74981020538400389</v>
      </c>
      <c r="E2">
        <v>-0.77912950707981454</v>
      </c>
      <c r="F2">
        <v>0.43046540973738612</v>
      </c>
      <c r="H2">
        <v>3.0341190595586744</v>
      </c>
      <c r="I2">
        <v>1.3340444262843909</v>
      </c>
      <c r="J2">
        <v>-0.74635659831197776</v>
      </c>
      <c r="K2">
        <v>0.92011355574274034</v>
      </c>
      <c r="L2">
        <v>-0.7433606478687852</v>
      </c>
      <c r="M2">
        <v>0.31543363562274912</v>
      </c>
      <c r="O2" t="e">
        <f t="array" ref="O2:S31">MMULT(MatZ,TRANSPOSE(cholRange))</f>
        <v>#VALUE!</v>
      </c>
      <c r="P2" t="e">
        <v>#VALUE!</v>
      </c>
      <c r="Q2" t="e">
        <v>#VALUE!</v>
      </c>
      <c r="R2" t="e">
        <v>#VALUE!</v>
      </c>
      <c r="S2" t="e">
        <v>#VALUE!</v>
      </c>
      <c r="V2">
        <f>SCIB!O2</f>
        <v>25.739701291250487</v>
      </c>
      <c r="W2" t="e">
        <f>V2*EXP((SCIB_MUE-((SCIB_SIGMA^2)/2))+SCIB_SIGMA*O2)</f>
        <v>#VALUE!</v>
      </c>
    </row>
    <row r="3" spans="1:23">
      <c r="A3">
        <v>9.7985379494489905E-2</v>
      </c>
      <c r="B3">
        <v>-2.0841337945874656</v>
      </c>
      <c r="C3">
        <v>-0.29374270990564799</v>
      </c>
      <c r="D3">
        <v>-0.50006787880629022</v>
      </c>
      <c r="E3">
        <v>-0.9823673346822861</v>
      </c>
      <c r="F3">
        <v>-0.98349742433071596</v>
      </c>
      <c r="H3">
        <v>0.26454831672952617</v>
      </c>
      <c r="I3">
        <v>-3.8275588262342248</v>
      </c>
      <c r="J3">
        <v>-0.37980275001075847</v>
      </c>
      <c r="K3">
        <v>-0.61364760145608099</v>
      </c>
      <c r="L3">
        <v>-0.93726808151773455</v>
      </c>
      <c r="M3">
        <v>-0.72068082862106886</v>
      </c>
      <c r="O3" t="e">
        <v>#VALUE!</v>
      </c>
      <c r="P3" t="e">
        <v>#VALUE!</v>
      </c>
      <c r="Q3" t="e">
        <v>#VALUE!</v>
      </c>
      <c r="R3" t="e">
        <v>#VALUE!</v>
      </c>
      <c r="S3" t="e">
        <v>#VALUE!</v>
      </c>
    </row>
    <row r="4" spans="1:23">
      <c r="A4">
        <v>-0.46556578084836742</v>
      </c>
      <c r="B4">
        <v>-0.68166341197480262</v>
      </c>
      <c r="C4">
        <v>-0.56474230493511546</v>
      </c>
      <c r="D4">
        <v>-0.86299871217817459</v>
      </c>
      <c r="E4">
        <v>1.5604072669681548</v>
      </c>
      <c r="F4">
        <v>0.77138071059233626</v>
      </c>
      <c r="H4">
        <v>-1.2569696038910489</v>
      </c>
      <c r="I4">
        <v>-1.2518902652991817</v>
      </c>
      <c r="J4">
        <v>-0.73019916147252439</v>
      </c>
      <c r="K4">
        <v>-1.0590104108505722</v>
      </c>
      <c r="L4">
        <v>1.4887709249519958</v>
      </c>
      <c r="M4">
        <v>0.56524732646890741</v>
      </c>
      <c r="O4" t="e">
        <v>#VALUE!</v>
      </c>
      <c r="P4" t="e">
        <v>#VALUE!</v>
      </c>
      <c r="Q4" t="e">
        <v>#VALUE!</v>
      </c>
      <c r="R4" t="e">
        <v>#VALUE!</v>
      </c>
      <c r="S4" t="e">
        <v>#VALUE!</v>
      </c>
    </row>
    <row r="5" spans="1:23">
      <c r="A5">
        <v>-1.7317518378680541</v>
      </c>
      <c r="B5">
        <v>9.7836455936625016E-2</v>
      </c>
      <c r="C5">
        <v>-0.27815196068858206</v>
      </c>
      <c r="D5">
        <v>-2.9775013063874667</v>
      </c>
      <c r="E5">
        <v>-0.81741295560364158</v>
      </c>
      <c r="F5">
        <v>0.12516158118115051</v>
      </c>
      <c r="H5">
        <v>-4.6755142049229867</v>
      </c>
      <c r="I5">
        <v>0.1796788629502688</v>
      </c>
      <c r="J5">
        <v>-0.35964426019063073</v>
      </c>
      <c r="K5">
        <v>-3.6537770419459172</v>
      </c>
      <c r="L5">
        <v>-0.77988655125034978</v>
      </c>
      <c r="M5">
        <v>9.1715087203749587E-2</v>
      </c>
      <c r="O5" t="e">
        <v>#VALUE!</v>
      </c>
      <c r="P5" t="e">
        <v>#VALUE!</v>
      </c>
      <c r="Q5" t="e">
        <v>#VALUE!</v>
      </c>
      <c r="R5" t="e">
        <v>#VALUE!</v>
      </c>
      <c r="S5" t="e">
        <v>#VALUE!</v>
      </c>
    </row>
    <row r="6" spans="1:23">
      <c r="A6">
        <v>-0.33670795537425646</v>
      </c>
      <c r="B6">
        <v>1.3828442039393773</v>
      </c>
      <c r="C6">
        <v>-0.42016499556553188</v>
      </c>
      <c r="D6">
        <v>-0.31956171702187652</v>
      </c>
      <c r="E6">
        <v>-0.53045161143031505</v>
      </c>
      <c r="F6">
        <v>0.15945071573151565</v>
      </c>
      <c r="H6">
        <v>-0.90906952938534091</v>
      </c>
      <c r="I6">
        <v>2.5396246401458535</v>
      </c>
      <c r="J6">
        <v>-0.54326393606603951</v>
      </c>
      <c r="K6">
        <v>-0.39214332589361017</v>
      </c>
      <c r="L6">
        <v>-0.50609924274820983</v>
      </c>
      <c r="M6">
        <v>0.11684125559943502</v>
      </c>
      <c r="O6" t="e">
        <v>#VALUE!</v>
      </c>
      <c r="P6" t="e">
        <v>#VALUE!</v>
      </c>
      <c r="Q6" t="e">
        <v>#VALUE!</v>
      </c>
      <c r="R6" t="e">
        <v>#VALUE!</v>
      </c>
      <c r="S6" t="e">
        <v>#VALUE!</v>
      </c>
    </row>
    <row r="7" spans="1:23">
      <c r="A7">
        <v>1.0738241017956911</v>
      </c>
      <c r="B7">
        <v>-8.3044751266303563E-2</v>
      </c>
      <c r="C7">
        <v>0.39984557849564517</v>
      </c>
      <c r="D7">
        <v>-0.50576400884256034</v>
      </c>
      <c r="E7">
        <v>-0.54325345144738413</v>
      </c>
      <c r="F7">
        <v>2.2977516554377653</v>
      </c>
      <c r="H7">
        <v>2.8991912881209005</v>
      </c>
      <c r="I7">
        <v>-0.1525135629522687</v>
      </c>
      <c r="J7">
        <v>0.51699138453876115</v>
      </c>
      <c r="K7">
        <v>-0.62063748559477627</v>
      </c>
      <c r="L7">
        <v>-0.51831336633424685</v>
      </c>
      <c r="M7">
        <v>1.6837314730470352</v>
      </c>
      <c r="O7" t="e">
        <v>#VALUE!</v>
      </c>
      <c r="P7" t="e">
        <v>#VALUE!</v>
      </c>
      <c r="Q7" t="e">
        <v>#VALUE!</v>
      </c>
      <c r="R7" t="e">
        <v>#VALUE!</v>
      </c>
      <c r="S7" t="e">
        <v>#VALUE!</v>
      </c>
    </row>
    <row r="8" spans="1:23">
      <c r="A8">
        <v>-0.97339657545473424</v>
      </c>
      <c r="B8">
        <v>-0.11619409405888448</v>
      </c>
      <c r="C8">
        <v>-0.21942640061520807</v>
      </c>
      <c r="D8">
        <v>-1.705284794144756</v>
      </c>
      <c r="E8">
        <v>0.49027286536391501</v>
      </c>
      <c r="F8">
        <v>3.3744276236818393</v>
      </c>
      <c r="H8">
        <v>-2.6280494791706754</v>
      </c>
      <c r="I8">
        <v>-0.21339308034175655</v>
      </c>
      <c r="J8">
        <v>-0.28371342528087706</v>
      </c>
      <c r="K8">
        <v>-2.0926037605623016</v>
      </c>
      <c r="L8">
        <v>0.46776505255893369</v>
      </c>
      <c r="M8">
        <v>2.4726910674034404</v>
      </c>
      <c r="O8" t="e">
        <v>#VALUE!</v>
      </c>
      <c r="P8" t="e">
        <v>#VALUE!</v>
      </c>
      <c r="Q8" t="e">
        <v>#VALUE!</v>
      </c>
      <c r="R8" t="e">
        <v>#VALUE!</v>
      </c>
      <c r="S8" t="e">
        <v>#VALUE!</v>
      </c>
    </row>
    <row r="9" spans="1:23">
      <c r="A9">
        <v>-0.38672883545178804</v>
      </c>
      <c r="B9">
        <v>4.4688964039883386E-2</v>
      </c>
      <c r="C9">
        <v>-0.15032835663994953</v>
      </c>
      <c r="D9">
        <v>-0.95627800551045006</v>
      </c>
      <c r="E9">
        <v>0.8345481807031836</v>
      </c>
      <c r="F9">
        <v>-1.7301572159645651</v>
      </c>
      <c r="H9">
        <v>-1.0441196735406189</v>
      </c>
      <c r="I9">
        <v>8.2072292666784952E-2</v>
      </c>
      <c r="J9">
        <v>-0.19437120081989509</v>
      </c>
      <c r="K9">
        <v>-1.1734761004995613</v>
      </c>
      <c r="L9">
        <v>0.79623511964062144</v>
      </c>
      <c r="M9">
        <v>-1.2678133213156013</v>
      </c>
      <c r="O9" t="e">
        <v>#VALUE!</v>
      </c>
      <c r="P9" t="e">
        <v>#VALUE!</v>
      </c>
      <c r="Q9" t="e">
        <v>#VALUE!</v>
      </c>
      <c r="R9" t="e">
        <v>#VALUE!</v>
      </c>
      <c r="S9" t="e">
        <v>#VALUE!</v>
      </c>
    </row>
    <row r="10" spans="1:23">
      <c r="A10">
        <v>-0.94819003802404822</v>
      </c>
      <c r="B10">
        <v>-0.15271427274191685</v>
      </c>
      <c r="C10">
        <v>-1.0579326466047476</v>
      </c>
      <c r="D10">
        <v>1.8324660572240399</v>
      </c>
      <c r="E10">
        <v>-0.59883787739845129</v>
      </c>
      <c r="F10">
        <v>1.1876401341854534</v>
      </c>
      <c r="H10">
        <v>-2.55999496856644</v>
      </c>
      <c r="I10">
        <v>-0.28046321404282271</v>
      </c>
      <c r="J10">
        <v>-1.3678832357599804</v>
      </c>
      <c r="K10">
        <v>2.2486715272524096</v>
      </c>
      <c r="L10">
        <v>-0.57134598095214895</v>
      </c>
      <c r="M10">
        <v>0.87027119221066451</v>
      </c>
      <c r="O10" t="e">
        <v>#VALUE!</v>
      </c>
      <c r="P10" t="e">
        <v>#VALUE!</v>
      </c>
      <c r="Q10" t="e">
        <v>#VALUE!</v>
      </c>
      <c r="R10" t="e">
        <v>#VALUE!</v>
      </c>
      <c r="S10" t="e">
        <v>#VALUE!</v>
      </c>
    </row>
    <row r="11" spans="1:23">
      <c r="A11">
        <v>4.5350011163098281E-2</v>
      </c>
      <c r="B11">
        <v>0.74286424113431071</v>
      </c>
      <c r="C11">
        <v>0.2792065999885367</v>
      </c>
      <c r="D11">
        <v>-1.7689479108200588E-2</v>
      </c>
      <c r="E11">
        <v>-0.35172566363838864</v>
      </c>
      <c r="F11">
        <v>1.2602263524869155</v>
      </c>
      <c r="H11">
        <v>0.12243938002544069</v>
      </c>
      <c r="I11">
        <v>1.364286971513859</v>
      </c>
      <c r="J11">
        <v>0.36100788520287652</v>
      </c>
      <c r="K11">
        <v>-2.1707265924911873E-2</v>
      </c>
      <c r="L11">
        <v>-0.33557837922768718</v>
      </c>
      <c r="M11">
        <v>0.92346044787909309</v>
      </c>
      <c r="O11" t="e">
        <v>#VALUE!</v>
      </c>
      <c r="P11" t="e">
        <v>#VALUE!</v>
      </c>
      <c r="Q11" t="e">
        <v>#VALUE!</v>
      </c>
      <c r="R11" t="e">
        <v>#VALUE!</v>
      </c>
      <c r="S11" t="e">
        <v>#VALUE!</v>
      </c>
    </row>
    <row r="12" spans="1:23">
      <c r="A12">
        <v>-0.74601861389030688</v>
      </c>
      <c r="B12">
        <v>-0.938959578321098</v>
      </c>
      <c r="C12">
        <v>0.42576787261550408</v>
      </c>
      <c r="D12">
        <v>1.0291682147841215</v>
      </c>
      <c r="E12">
        <v>0.6221969007920809</v>
      </c>
      <c r="F12">
        <v>1.5152226115223484</v>
      </c>
      <c r="H12">
        <v>-2.0141573117515272</v>
      </c>
      <c r="I12">
        <v>-1.7244204910517598</v>
      </c>
      <c r="J12">
        <v>0.55050833070049754</v>
      </c>
      <c r="K12">
        <v>1.2629217617509747</v>
      </c>
      <c r="L12">
        <v>0.59363262085692126</v>
      </c>
      <c r="M12">
        <v>1.1103149435906474</v>
      </c>
      <c r="O12" t="e">
        <v>#VALUE!</v>
      </c>
      <c r="P12" t="e">
        <v>#VALUE!</v>
      </c>
      <c r="Q12" t="e">
        <v>#VALUE!</v>
      </c>
      <c r="R12" t="e">
        <v>#VALUE!</v>
      </c>
      <c r="S12" t="e">
        <v>#VALUE!</v>
      </c>
    </row>
    <row r="13" spans="1:23">
      <c r="A13">
        <v>-0.55997193473021634</v>
      </c>
      <c r="B13">
        <v>0.54834735565538217</v>
      </c>
      <c r="C13">
        <v>0.22422682132507482</v>
      </c>
      <c r="D13">
        <v>1.3799739319119397</v>
      </c>
      <c r="E13">
        <v>-1.0100757655200336</v>
      </c>
      <c r="F13">
        <v>3.957291835134838E-2</v>
      </c>
      <c r="H13">
        <v>-1.5118544573987722</v>
      </c>
      <c r="I13">
        <v>1.007052314218819</v>
      </c>
      <c r="J13">
        <v>0.28992026182637504</v>
      </c>
      <c r="K13">
        <v>1.6934054940923495</v>
      </c>
      <c r="L13">
        <v>-0.96370445302184371</v>
      </c>
      <c r="M13">
        <v>2.8997985030628361E-2</v>
      </c>
      <c r="O13" t="e">
        <v>#VALUE!</v>
      </c>
      <c r="P13" t="e">
        <v>#VALUE!</v>
      </c>
      <c r="Q13" t="e">
        <v>#VALUE!</v>
      </c>
      <c r="R13" t="e">
        <v>#VALUE!</v>
      </c>
      <c r="S13" t="e">
        <v>#VALUE!</v>
      </c>
    </row>
    <row r="14" spans="1:23">
      <c r="A14">
        <v>-0.74531112815224843</v>
      </c>
      <c r="B14">
        <v>-1.5104144823690007</v>
      </c>
      <c r="C14">
        <v>-0.70958977853671579</v>
      </c>
      <c r="D14">
        <v>-4.819729004899664E-3</v>
      </c>
      <c r="E14">
        <v>1.8774120562829641</v>
      </c>
      <c r="F14">
        <v>1.1217393934391153</v>
      </c>
      <c r="H14">
        <v>-2.0122471884037476</v>
      </c>
      <c r="I14">
        <v>-2.7739103402465579</v>
      </c>
      <c r="J14">
        <v>-0.917483703184791</v>
      </c>
      <c r="K14">
        <v>-5.9144273585119934E-3</v>
      </c>
      <c r="L14">
        <v>1.7912224216816972</v>
      </c>
      <c r="M14">
        <v>0.82198087718504753</v>
      </c>
      <c r="O14" t="e">
        <v>#VALUE!</v>
      </c>
      <c r="P14" t="e">
        <v>#VALUE!</v>
      </c>
      <c r="Q14" t="e">
        <v>#VALUE!</v>
      </c>
      <c r="R14" t="e">
        <v>#VALUE!</v>
      </c>
      <c r="S14" t="e">
        <v>#VALUE!</v>
      </c>
    </row>
    <row r="15" spans="1:23">
      <c r="A15">
        <v>2.1569638405109197</v>
      </c>
      <c r="B15">
        <v>0.1262112036670715</v>
      </c>
      <c r="C15">
        <v>1.7533418142615353</v>
      </c>
      <c r="D15">
        <v>0.96690036259407242</v>
      </c>
      <c r="E15">
        <v>-0.77961148668184777</v>
      </c>
      <c r="F15">
        <v>1.7667077575137582</v>
      </c>
      <c r="H15">
        <v>5.8235336352981744</v>
      </c>
      <c r="I15">
        <v>0.23178972857698235</v>
      </c>
      <c r="J15">
        <v>2.2670317264359769</v>
      </c>
      <c r="K15">
        <v>1.1865110987916629</v>
      </c>
      <c r="L15">
        <v>-0.74382050039133929</v>
      </c>
      <c r="M15">
        <v>1.2945965887838888</v>
      </c>
      <c r="O15" t="e">
        <v>#VALUE!</v>
      </c>
      <c r="P15" t="e">
        <v>#VALUE!</v>
      </c>
      <c r="Q15" t="e">
        <v>#VALUE!</v>
      </c>
      <c r="R15" t="e">
        <v>#VALUE!</v>
      </c>
      <c r="S15" t="e">
        <v>#VALUE!</v>
      </c>
    </row>
    <row r="16" spans="1:23">
      <c r="A16">
        <v>-0.95164180531055109</v>
      </c>
      <c r="B16">
        <v>-1.2031200249482574</v>
      </c>
      <c r="C16">
        <v>1.8494958355022533</v>
      </c>
      <c r="D16">
        <v>-0.60353340025061808</v>
      </c>
      <c r="E16">
        <v>0.24096516651362521</v>
      </c>
      <c r="F16">
        <v>1.3767263664683971</v>
      </c>
      <c r="H16">
        <v>-2.5693143101875822</v>
      </c>
      <c r="I16">
        <v>-2.209557122709275</v>
      </c>
      <c r="J16">
        <v>2.3913567239943774</v>
      </c>
      <c r="K16">
        <v>-0.74061310305813244</v>
      </c>
      <c r="L16">
        <v>0.22990275771320332</v>
      </c>
      <c r="M16">
        <v>1.008828568357574</v>
      </c>
      <c r="O16" t="e">
        <v>#VALUE!</v>
      </c>
      <c r="P16" t="e">
        <v>#VALUE!</v>
      </c>
      <c r="Q16" t="e">
        <v>#VALUE!</v>
      </c>
      <c r="R16" t="e">
        <v>#VALUE!</v>
      </c>
      <c r="S16" t="e">
        <v>#VALUE!</v>
      </c>
    </row>
    <row r="17" spans="1:19">
      <c r="A17">
        <v>0.47664488320255904</v>
      </c>
      <c r="B17">
        <v>-0.51366803741397438</v>
      </c>
      <c r="C17">
        <v>1.1197702950172603</v>
      </c>
      <c r="D17">
        <v>0.13881273394137977</v>
      </c>
      <c r="E17">
        <v>9.0231856024516277E-2</v>
      </c>
      <c r="F17">
        <v>-0.53585826134016079</v>
      </c>
      <c r="H17">
        <v>1.2868817999125008</v>
      </c>
      <c r="I17">
        <v>-0.94336296233200301</v>
      </c>
      <c r="J17">
        <v>1.4478379312443879</v>
      </c>
      <c r="K17">
        <v>0.17034107737138932</v>
      </c>
      <c r="L17">
        <v>8.6089424599235687E-2</v>
      </c>
      <c r="M17">
        <v>-0.39266272208986741</v>
      </c>
      <c r="O17" t="e">
        <v>#VALUE!</v>
      </c>
      <c r="P17" t="e">
        <v>#VALUE!</v>
      </c>
      <c r="Q17" t="e">
        <v>#VALUE!</v>
      </c>
      <c r="R17" t="e">
        <v>#VALUE!</v>
      </c>
      <c r="S17" t="e">
        <v>#VALUE!</v>
      </c>
    </row>
    <row r="18" spans="1:19">
      <c r="A18">
        <v>0.30569448891434259</v>
      </c>
      <c r="B18">
        <v>-0.59072130647242416</v>
      </c>
      <c r="C18">
        <v>-1.3841031241604194</v>
      </c>
      <c r="D18">
        <v>-1.3340595576172127</v>
      </c>
      <c r="E18">
        <v>-0.90618578192038957</v>
      </c>
      <c r="F18">
        <v>0.28585833736413802</v>
      </c>
      <c r="H18">
        <v>0.82533703388197655</v>
      </c>
      <c r="I18">
        <v>-1.084873032770282</v>
      </c>
      <c r="J18">
        <v>-1.7896143636159116</v>
      </c>
      <c r="K18">
        <v>-1.6370626517454805</v>
      </c>
      <c r="L18">
        <v>-0.86458392836714382</v>
      </c>
      <c r="M18">
        <v>0.2094694081990327</v>
      </c>
      <c r="O18" t="e">
        <v>#VALUE!</v>
      </c>
      <c r="P18" t="e">
        <v>#VALUE!</v>
      </c>
      <c r="Q18" t="e">
        <v>#VALUE!</v>
      </c>
      <c r="R18" t="e">
        <v>#VALUE!</v>
      </c>
      <c r="S18" t="e">
        <v>#VALUE!</v>
      </c>
    </row>
    <row r="19" spans="1:19">
      <c r="A19">
        <v>-0.45857492078004769</v>
      </c>
      <c r="B19">
        <v>-0.95538954111788654</v>
      </c>
      <c r="C19">
        <v>0.32170570262471965</v>
      </c>
      <c r="D19">
        <v>0.75251373655870268</v>
      </c>
      <c r="E19">
        <v>0.75355286892398876</v>
      </c>
      <c r="F19">
        <v>0.60736578651505591</v>
      </c>
      <c r="H19">
        <v>-1.2380951526912183</v>
      </c>
      <c r="I19">
        <v>-1.7545944891323366</v>
      </c>
      <c r="J19">
        <v>0.41595827379089095</v>
      </c>
      <c r="K19">
        <v>0.92343113619756956</v>
      </c>
      <c r="L19">
        <v>0.71895820111628084</v>
      </c>
      <c r="M19">
        <v>0.44506154004381887</v>
      </c>
      <c r="O19" t="e">
        <v>#VALUE!</v>
      </c>
      <c r="P19" t="e">
        <v>#VALUE!</v>
      </c>
      <c r="Q19" t="e">
        <v>#VALUE!</v>
      </c>
      <c r="R19" t="e">
        <v>#VALUE!</v>
      </c>
      <c r="S19" t="e">
        <v>#VALUE!</v>
      </c>
    </row>
    <row r="20" spans="1:19">
      <c r="A20">
        <v>1.0787020051124498</v>
      </c>
      <c r="B20">
        <v>0.64539955154396811</v>
      </c>
      <c r="C20">
        <v>0.31744323974146904</v>
      </c>
      <c r="D20">
        <v>0.10140957599266592</v>
      </c>
      <c r="E20">
        <v>0.23159763699661762</v>
      </c>
      <c r="F20">
        <v>1.1419120791806576</v>
      </c>
      <c r="H20">
        <v>2.9123610193427965</v>
      </c>
      <c r="I20">
        <v>1.1852908658624286</v>
      </c>
      <c r="J20">
        <v>0.41044700467582984</v>
      </c>
      <c r="K20">
        <v>0.12444259211594626</v>
      </c>
      <c r="L20">
        <v>0.22096527973628544</v>
      </c>
      <c r="M20">
        <v>0.83676288628448203</v>
      </c>
      <c r="O20" t="e">
        <v>#VALUE!</v>
      </c>
      <c r="P20" t="e">
        <v>#VALUE!</v>
      </c>
      <c r="Q20" t="e">
        <v>#VALUE!</v>
      </c>
      <c r="R20" t="e">
        <v>#VALUE!</v>
      </c>
      <c r="S20" t="e">
        <v>#VALUE!</v>
      </c>
    </row>
    <row r="21" spans="1:19">
      <c r="A21">
        <v>0.67519667414067031</v>
      </c>
      <c r="B21">
        <v>-0.76787109377335105</v>
      </c>
      <c r="C21">
        <v>-0.89740020084054728</v>
      </c>
      <c r="D21">
        <v>0.62193020837107227</v>
      </c>
      <c r="E21">
        <v>0.8347539166940845</v>
      </c>
      <c r="F21">
        <v>1.2770000757012934</v>
      </c>
      <c r="H21">
        <v>1.8229468980658825</v>
      </c>
      <c r="I21">
        <v>-1.4102126216729187</v>
      </c>
      <c r="J21">
        <v>-1.1603183760676994</v>
      </c>
      <c r="K21">
        <v>0.76318835265127316</v>
      </c>
      <c r="L21">
        <v>0.79643141055002276</v>
      </c>
      <c r="M21">
        <v>0.93575178738455722</v>
      </c>
      <c r="O21" t="e">
        <v>#VALUE!</v>
      </c>
      <c r="P21" t="e">
        <v>#VALUE!</v>
      </c>
      <c r="Q21" t="e">
        <v>#VALUE!</v>
      </c>
      <c r="R21" t="e">
        <v>#VALUE!</v>
      </c>
      <c r="S21" t="e">
        <v>#VALUE!</v>
      </c>
    </row>
    <row r="22" spans="1:19">
      <c r="A22">
        <v>-0.62225999969353274</v>
      </c>
      <c r="B22">
        <v>-0.28895908113962676</v>
      </c>
      <c r="C22">
        <v>6.4105733114707603E-2</v>
      </c>
      <c r="D22">
        <v>1.1191767502148742</v>
      </c>
      <c r="E22">
        <v>1.2393206630524891</v>
      </c>
      <c r="F22">
        <v>0.31997023629814614</v>
      </c>
      <c r="H22">
        <v>-1.6800244723887268</v>
      </c>
      <c r="I22">
        <v>-0.53067988452028991</v>
      </c>
      <c r="J22">
        <v>8.2887278245108706E-2</v>
      </c>
      <c r="K22">
        <v>1.3733738107998033</v>
      </c>
      <c r="L22">
        <v>1.1824250046141507</v>
      </c>
      <c r="M22">
        <v>0.23446570303562442</v>
      </c>
      <c r="O22" t="e">
        <v>#VALUE!</v>
      </c>
      <c r="P22" t="e">
        <v>#VALUE!</v>
      </c>
      <c r="Q22" t="e">
        <v>#VALUE!</v>
      </c>
      <c r="R22" t="e">
        <v>#VALUE!</v>
      </c>
      <c r="S22" t="e">
        <v>#VALUE!</v>
      </c>
    </row>
    <row r="23" spans="1:19">
      <c r="A23">
        <v>-1.345968920202949</v>
      </c>
      <c r="B23">
        <v>2.0343422486919796E-2</v>
      </c>
      <c r="C23">
        <v>-0.3150176525106102</v>
      </c>
      <c r="D23">
        <v>0.70511122102351709</v>
      </c>
      <c r="E23">
        <v>-0.23907452851530792</v>
      </c>
      <c r="F23">
        <v>-7.106500013879391E-2</v>
      </c>
      <c r="H23">
        <v>-3.6339483915554114</v>
      </c>
      <c r="I23">
        <v>3.7361155266442209E-2</v>
      </c>
      <c r="J23">
        <v>-0.40731077467043808</v>
      </c>
      <c r="K23">
        <v>0.86526215315753086</v>
      </c>
      <c r="L23">
        <v>-0.22809891653591044</v>
      </c>
      <c r="M23">
        <v>-5.2074547343969949E-2</v>
      </c>
      <c r="O23" t="e">
        <v>#VALUE!</v>
      </c>
      <c r="P23" t="e">
        <v>#VALUE!</v>
      </c>
      <c r="Q23" t="e">
        <v>#VALUE!</v>
      </c>
      <c r="R23" t="e">
        <v>#VALUE!</v>
      </c>
      <c r="S23" t="e">
        <v>#VALUE!</v>
      </c>
    </row>
    <row r="24" spans="1:19">
      <c r="A24">
        <v>0.50460993370145135</v>
      </c>
      <c r="B24">
        <v>2.0443696937375355</v>
      </c>
      <c r="C24">
        <v>-0.2748057182614726</v>
      </c>
      <c r="D24">
        <v>1.1800244301399294</v>
      </c>
      <c r="E24">
        <v>0.42715676318789775</v>
      </c>
      <c r="F24">
        <v>0.11407615732332652</v>
      </c>
      <c r="H24">
        <v>1.3623839521203633</v>
      </c>
      <c r="I24">
        <v>3.7545311561438099</v>
      </c>
      <c r="J24">
        <v>-0.35531764362054785</v>
      </c>
      <c r="K24">
        <v>1.4480417397403889</v>
      </c>
      <c r="L24">
        <v>0.40754653153235126</v>
      </c>
      <c r="M24">
        <v>8.3591982603949511E-2</v>
      </c>
      <c r="O24" t="e">
        <v>#VALUE!</v>
      </c>
      <c r="P24" t="e">
        <v>#VALUE!</v>
      </c>
      <c r="Q24" t="e">
        <v>#VALUE!</v>
      </c>
      <c r="R24" t="e">
        <v>#VALUE!</v>
      </c>
      <c r="S24" t="e">
        <v>#VALUE!</v>
      </c>
    </row>
    <row r="25" spans="1:19">
      <c r="A25">
        <v>-1.2449100768942674</v>
      </c>
      <c r="B25">
        <v>2.418320494080584</v>
      </c>
      <c r="C25">
        <v>-1.4069123128092569</v>
      </c>
      <c r="D25">
        <v>-1.4773087783451126</v>
      </c>
      <c r="E25">
        <v>1.4435750505722873</v>
      </c>
      <c r="F25">
        <v>-0.1892064639583802</v>
      </c>
      <c r="H25">
        <v>-3.3611021054475114</v>
      </c>
      <c r="I25">
        <v>4.4413002542446849</v>
      </c>
      <c r="J25">
        <v>-1.8191061340742327</v>
      </c>
      <c r="K25">
        <v>-1.8128478689843182</v>
      </c>
      <c r="L25">
        <v>1.3773023291886455</v>
      </c>
      <c r="M25">
        <v>-0.13864547872993266</v>
      </c>
      <c r="O25" t="e">
        <v>#VALUE!</v>
      </c>
      <c r="P25" t="e">
        <v>#VALUE!</v>
      </c>
      <c r="Q25" t="e">
        <v>#VALUE!</v>
      </c>
      <c r="R25" t="e">
        <v>#VALUE!</v>
      </c>
      <c r="S25" t="e">
        <v>#VALUE!</v>
      </c>
    </row>
    <row r="26" spans="1:19">
      <c r="A26">
        <v>1.1637812385197317</v>
      </c>
      <c r="B26">
        <v>1.0843447941214608</v>
      </c>
      <c r="C26">
        <v>2.5953464890245727E-3</v>
      </c>
      <c r="D26">
        <v>-1.8498314280207104</v>
      </c>
      <c r="E26">
        <v>0.56293128047644081</v>
      </c>
      <c r="F26">
        <v>0.44404710375006984</v>
      </c>
      <c r="H26">
        <v>3.142064349601374</v>
      </c>
      <c r="I26">
        <v>1.9914237263458709</v>
      </c>
      <c r="J26">
        <v>3.3557249270251468E-3</v>
      </c>
      <c r="K26">
        <v>-2.2699810705952252</v>
      </c>
      <c r="L26">
        <v>0.53708781089419644</v>
      </c>
      <c r="M26">
        <v>0.32538594078694377</v>
      </c>
      <c r="O26" t="e">
        <v>#VALUE!</v>
      </c>
      <c r="P26" t="e">
        <v>#VALUE!</v>
      </c>
      <c r="Q26" t="e">
        <v>#VALUE!</v>
      </c>
      <c r="R26" t="e">
        <v>#VALUE!</v>
      </c>
      <c r="S26" t="e">
        <v>#VALUE!</v>
      </c>
    </row>
    <row r="27" spans="1:19">
      <c r="A27">
        <v>-8.334969803340514E-2</v>
      </c>
      <c r="B27">
        <v>1.9155956474822018</v>
      </c>
      <c r="C27">
        <v>0.57909576550798714</v>
      </c>
      <c r="D27">
        <v>2.6790837400600145</v>
      </c>
      <c r="E27">
        <v>0.20905881802285375</v>
      </c>
      <c r="F27">
        <v>0.56459809080998569</v>
      </c>
      <c r="H27">
        <v>-0.22503380023028421</v>
      </c>
      <c r="I27">
        <v>3.5180347092196529</v>
      </c>
      <c r="J27">
        <v>0.74875786476595674</v>
      </c>
      <c r="K27">
        <v>3.2875803083218051</v>
      </c>
      <c r="L27">
        <v>0.19946118969439972</v>
      </c>
      <c r="M27">
        <v>0.41372250689900059</v>
      </c>
      <c r="O27" t="e">
        <v>#VALUE!</v>
      </c>
      <c r="P27" t="e">
        <v>#VALUE!</v>
      </c>
      <c r="Q27" t="e">
        <v>#VALUE!</v>
      </c>
      <c r="R27" t="e">
        <v>#VALUE!</v>
      </c>
      <c r="S27" t="e">
        <v>#VALUE!</v>
      </c>
    </row>
    <row r="28" spans="1:19">
      <c r="A28">
        <v>-0.91697857590830889</v>
      </c>
      <c r="B28">
        <v>-0.94161898952547474</v>
      </c>
      <c r="C28">
        <v>0.87144900212123599</v>
      </c>
      <c r="D28">
        <v>-0.71398834035881875</v>
      </c>
      <c r="E28">
        <v>-9.0701566549703516E-2</v>
      </c>
      <c r="F28">
        <v>1.4652248637272693</v>
      </c>
      <c r="H28">
        <v>-2.4757279094604385</v>
      </c>
      <c r="I28">
        <v>-1.7293045598453916</v>
      </c>
      <c r="J28">
        <v>1.1267640569057498</v>
      </c>
      <c r="K28">
        <v>-0.87615552027591237</v>
      </c>
      <c r="L28">
        <v>-8.6537571302885322E-2</v>
      </c>
      <c r="M28">
        <v>1.0736779200268436</v>
      </c>
      <c r="O28" t="e">
        <v>#VALUE!</v>
      </c>
      <c r="P28" t="e">
        <v>#VALUE!</v>
      </c>
      <c r="Q28" t="e">
        <v>#VALUE!</v>
      </c>
      <c r="R28" t="e">
        <v>#VALUE!</v>
      </c>
      <c r="S28" t="e">
        <v>#VALUE!</v>
      </c>
    </row>
    <row r="29" spans="1:19">
      <c r="A29">
        <v>-1.7630259197431934</v>
      </c>
      <c r="B29">
        <v>1.2971007340360563</v>
      </c>
      <c r="C29">
        <v>0.67253358271045571</v>
      </c>
      <c r="D29">
        <v>-1.644776652240644</v>
      </c>
      <c r="E29">
        <v>0.80334254863319732</v>
      </c>
      <c r="F29">
        <v>-0.8537155343845173</v>
      </c>
      <c r="H29">
        <v>-4.7599503295776318</v>
      </c>
      <c r="I29">
        <v>2.382154819411352</v>
      </c>
      <c r="J29">
        <v>0.86957087129094957</v>
      </c>
      <c r="K29">
        <v>-2.0183524884416908</v>
      </c>
      <c r="L29">
        <v>0.76646209902991114</v>
      </c>
      <c r="M29">
        <v>-0.62558010169228795</v>
      </c>
      <c r="O29" t="e">
        <v>#VALUE!</v>
      </c>
      <c r="P29" t="e">
        <v>#VALUE!</v>
      </c>
      <c r="Q29" t="e">
        <v>#VALUE!</v>
      </c>
      <c r="R29" t="e">
        <v>#VALUE!</v>
      </c>
      <c r="S29" t="e">
        <v>#VALUE!</v>
      </c>
    </row>
    <row r="30" spans="1:19">
      <c r="A30">
        <v>-1.014762258113544</v>
      </c>
      <c r="B30">
        <v>1.3107866829701975</v>
      </c>
      <c r="C30">
        <v>2.1574123005246353</v>
      </c>
      <c r="D30">
        <v>-0.87279302382177004</v>
      </c>
      <c r="E30">
        <v>0.24181150373879068</v>
      </c>
      <c r="F30">
        <v>1.0071579709012171</v>
      </c>
      <c r="H30">
        <v>-2.7397316686382509</v>
      </c>
      <c r="I30">
        <v>2.4072893740039141</v>
      </c>
      <c r="J30">
        <v>2.7894858221655507</v>
      </c>
      <c r="K30">
        <v>-1.0710292908921233</v>
      </c>
      <c r="L30">
        <v>0.23071024065704981</v>
      </c>
      <c r="M30">
        <v>0.73801864963230335</v>
      </c>
      <c r="O30" t="e">
        <v>#VALUE!</v>
      </c>
      <c r="P30" t="e">
        <v>#VALUE!</v>
      </c>
      <c r="Q30" t="e">
        <v>#VALUE!</v>
      </c>
      <c r="R30" t="e">
        <v>#VALUE!</v>
      </c>
      <c r="S30" t="e">
        <v>#VALUE!</v>
      </c>
    </row>
    <row r="31" spans="1:19">
      <c r="A31">
        <v>0.41601449454474804</v>
      </c>
      <c r="B31">
        <v>0.71587019675320351</v>
      </c>
      <c r="C31">
        <v>-1.7390918169118543</v>
      </c>
      <c r="D31">
        <v>-7.7554604437629154E-2</v>
      </c>
      <c r="E31">
        <v>0.7298677461921268</v>
      </c>
      <c r="F31">
        <v>2.3038735305707005</v>
      </c>
      <c r="H31">
        <v>1.1231873044190905</v>
      </c>
      <c r="I31">
        <v>1.3147117987994237</v>
      </c>
      <c r="J31">
        <v>-2.2486067987746461</v>
      </c>
      <c r="K31">
        <v>-9.516947400947047E-2</v>
      </c>
      <c r="L31">
        <v>0.6963604326852042</v>
      </c>
      <c r="M31">
        <v>1.6882174207825067</v>
      </c>
      <c r="O31" t="e">
        <v>#VALUE!</v>
      </c>
      <c r="P31" t="e">
        <v>#VALUE!</v>
      </c>
      <c r="Q31" t="e">
        <v>#VALUE!</v>
      </c>
      <c r="R31" t="e">
        <v>#VALUE!</v>
      </c>
      <c r="S31" t="e">
        <v>#VALUE!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16.142568509612914</v>
      </c>
      <c r="C2" s="9">
        <v>15.378110646897332</v>
      </c>
      <c r="D2" s="9">
        <v>14.855413983490051</v>
      </c>
      <c r="E2" s="9">
        <v>14.233571889615593</v>
      </c>
      <c r="F2" s="9">
        <v>13.528857553220599</v>
      </c>
      <c r="G2" s="9">
        <v>14.105362680235665</v>
      </c>
      <c r="H2" s="9">
        <v>14.920197829147387</v>
      </c>
      <c r="I2" s="9">
        <v>13.931219773077355</v>
      </c>
      <c r="J2" s="29">
        <v>14.516866302746548</v>
      </c>
      <c r="K2" s="9">
        <v>14.546365026762771</v>
      </c>
      <c r="L2" s="9">
        <v>14.423666803639719</v>
      </c>
      <c r="M2" s="9">
        <v>15.231637275106499</v>
      </c>
      <c r="N2" s="9">
        <v>15.59843407192961</v>
      </c>
      <c r="O2" s="9">
        <v>15.794004461543448</v>
      </c>
      <c r="P2" s="9">
        <v>16.654426120751705</v>
      </c>
    </row>
    <row r="3" spans="1:16">
      <c r="A3" s="26">
        <v>2</v>
      </c>
      <c r="B3" s="9">
        <v>15.254539473350594</v>
      </c>
      <c r="C3" s="9">
        <v>15.31834180962511</v>
      </c>
      <c r="D3" s="9">
        <v>16.460567350058223</v>
      </c>
      <c r="E3" s="9">
        <v>15.116751791845413</v>
      </c>
      <c r="F3" s="9">
        <v>16.775677354814288</v>
      </c>
      <c r="G3" s="9">
        <v>17.919069645109385</v>
      </c>
      <c r="H3" s="9">
        <v>19.044761087698561</v>
      </c>
      <c r="I3" s="9">
        <v>20.097010252936066</v>
      </c>
      <c r="J3" s="29">
        <v>22.128050950589838</v>
      </c>
      <c r="K3" s="9">
        <v>22.014510634815746</v>
      </c>
      <c r="L3" s="9">
        <v>21.98506549460733</v>
      </c>
      <c r="M3" s="9">
        <v>21.28088705676733</v>
      </c>
      <c r="N3" s="9">
        <v>22.5945195144519</v>
      </c>
      <c r="O3" s="9">
        <v>21.60934805751862</v>
      </c>
      <c r="P3" s="9">
        <v>18.971944010568269</v>
      </c>
    </row>
    <row r="4" spans="1:16">
      <c r="A4" s="26">
        <v>3</v>
      </c>
      <c r="B4" s="9">
        <v>16.794916277449929</v>
      </c>
      <c r="C4" s="9">
        <v>16.115154887201694</v>
      </c>
      <c r="D4" s="9">
        <v>17.003033320616169</v>
      </c>
      <c r="E4" s="9">
        <v>19.126033219687326</v>
      </c>
      <c r="F4" s="9">
        <v>18.951018758681201</v>
      </c>
      <c r="G4" s="9">
        <v>19.660059906066465</v>
      </c>
      <c r="H4" s="9">
        <v>19.514387816090718</v>
      </c>
      <c r="I4" s="9">
        <v>20.474030984681658</v>
      </c>
      <c r="J4" s="29">
        <v>22.280917387753206</v>
      </c>
      <c r="K4" s="9">
        <v>20.633752760401926</v>
      </c>
      <c r="L4" s="9">
        <v>21.855888886970838</v>
      </c>
      <c r="M4" s="9">
        <v>23.698581443860714</v>
      </c>
      <c r="N4" s="9">
        <v>23.785865928370168</v>
      </c>
      <c r="O4" s="9">
        <v>25.338566797936071</v>
      </c>
      <c r="P4" s="9">
        <v>24.375678441304061</v>
      </c>
    </row>
    <row r="5" spans="1:16">
      <c r="A5" s="26">
        <v>4</v>
      </c>
      <c r="B5" s="9">
        <v>15.862647301185355</v>
      </c>
      <c r="C5" s="9">
        <v>14.746378291087302</v>
      </c>
      <c r="D5" s="9">
        <v>16.804500356977684</v>
      </c>
      <c r="E5" s="9">
        <v>19.017829018540002</v>
      </c>
      <c r="F5" s="9">
        <v>20.32328360633613</v>
      </c>
      <c r="G5" s="9">
        <v>20.251916450186236</v>
      </c>
      <c r="H5" s="9">
        <v>20.225198541137402</v>
      </c>
      <c r="I5" s="9">
        <v>18.425515003427698</v>
      </c>
      <c r="J5" s="29">
        <v>17.120124768295703</v>
      </c>
      <c r="K5" s="9">
        <v>16.991829770318944</v>
      </c>
      <c r="L5" s="9">
        <v>16.689112127414354</v>
      </c>
      <c r="M5" s="9">
        <v>17.301866334055532</v>
      </c>
      <c r="N5" s="9">
        <v>17.667008916410797</v>
      </c>
      <c r="O5" s="9">
        <v>16.294657833810252</v>
      </c>
      <c r="P5" s="9">
        <v>16.492552032093379</v>
      </c>
    </row>
    <row r="6" spans="1:16">
      <c r="A6" s="26">
        <v>5</v>
      </c>
      <c r="B6" s="9">
        <v>16.518799359757164</v>
      </c>
      <c r="C6" s="9">
        <v>16.139768610674018</v>
      </c>
      <c r="D6" s="9">
        <v>16.573240363585072</v>
      </c>
      <c r="E6" s="9">
        <v>15.873716840166392</v>
      </c>
      <c r="F6" s="9">
        <v>15.272171411317691</v>
      </c>
      <c r="G6" s="9">
        <v>14.898261610954666</v>
      </c>
      <c r="H6" s="9">
        <v>16.055314789245642</v>
      </c>
      <c r="I6" s="9">
        <v>16.321444643917705</v>
      </c>
      <c r="J6" s="29">
        <v>15.624547449218847</v>
      </c>
      <c r="K6" s="9">
        <v>16.219234280600165</v>
      </c>
      <c r="L6" s="9">
        <v>15.242750053257565</v>
      </c>
      <c r="M6" s="9">
        <v>15.780357246177193</v>
      </c>
      <c r="N6" s="9">
        <v>17.547203142019413</v>
      </c>
      <c r="O6" s="9">
        <v>16.974615852670627</v>
      </c>
      <c r="P6" s="9">
        <v>18.681926284407279</v>
      </c>
    </row>
    <row r="7" spans="1:16">
      <c r="A7" s="26">
        <v>6</v>
      </c>
      <c r="B7" s="9">
        <v>16.069683970726523</v>
      </c>
      <c r="C7" s="9">
        <v>16.351710083511328</v>
      </c>
      <c r="D7" s="9">
        <v>15.936132421958785</v>
      </c>
      <c r="E7" s="9">
        <v>14.047380536747475</v>
      </c>
      <c r="F7" s="9">
        <v>13.921997073112191</v>
      </c>
      <c r="G7" s="9">
        <v>14.365170373998422</v>
      </c>
      <c r="H7" s="9">
        <v>14.615338546351005</v>
      </c>
      <c r="I7" s="9">
        <v>13.484391454993798</v>
      </c>
      <c r="J7" s="29">
        <v>15.195617807789949</v>
      </c>
      <c r="K7" s="9">
        <v>15.732716871329632</v>
      </c>
      <c r="L7" s="9">
        <v>16.366554672435132</v>
      </c>
      <c r="M7" s="9">
        <v>18.070375449700663</v>
      </c>
      <c r="N7" s="9">
        <v>17.749060746742899</v>
      </c>
      <c r="O7" s="9">
        <v>16.325888224917417</v>
      </c>
      <c r="P7" s="9">
        <v>16.330467485522799</v>
      </c>
    </row>
    <row r="8" spans="1:16">
      <c r="A8" s="26">
        <v>7</v>
      </c>
      <c r="B8" s="9">
        <v>14.483496486156945</v>
      </c>
      <c r="C8" s="9">
        <v>15.67120839012871</v>
      </c>
      <c r="D8" s="9">
        <v>18.304630882359458</v>
      </c>
      <c r="E8" s="9">
        <v>18.662417955276474</v>
      </c>
      <c r="F8" s="9">
        <v>18.153406853067995</v>
      </c>
      <c r="G8" s="9">
        <v>18.128464510682171</v>
      </c>
      <c r="H8" s="9">
        <v>17.882823582950838</v>
      </c>
      <c r="I8" s="9">
        <v>16.592043361840553</v>
      </c>
      <c r="J8" s="29">
        <v>15.889539421590436</v>
      </c>
      <c r="K8" s="9">
        <v>14.310108217750614</v>
      </c>
      <c r="L8" s="9">
        <v>16.343084947756456</v>
      </c>
      <c r="M8" s="9">
        <v>15.433095389647455</v>
      </c>
      <c r="N8" s="9">
        <v>15.291309068039906</v>
      </c>
      <c r="O8" s="9">
        <v>14.755907917215373</v>
      </c>
      <c r="P8" s="9">
        <v>14.728186122476533</v>
      </c>
    </row>
    <row r="9" spans="1:16">
      <c r="A9" s="26">
        <v>8</v>
      </c>
      <c r="B9" s="9">
        <v>15.52821842990334</v>
      </c>
      <c r="C9" s="9">
        <v>16.650509460949227</v>
      </c>
      <c r="D9" s="9">
        <v>17.246202448693715</v>
      </c>
      <c r="E9" s="9">
        <v>13.934020760665389</v>
      </c>
      <c r="F9" s="9">
        <v>13.821871413944027</v>
      </c>
      <c r="G9" s="9">
        <v>14.072668234948845</v>
      </c>
      <c r="H9" s="9">
        <v>12.105003233621423</v>
      </c>
      <c r="I9" s="9">
        <v>11.543637403163101</v>
      </c>
      <c r="J9" s="29">
        <v>12.912533947033442</v>
      </c>
      <c r="K9" s="9">
        <v>13.98933982210648</v>
      </c>
      <c r="L9" s="9">
        <v>13.632153389243074</v>
      </c>
      <c r="M9" s="9">
        <v>13.429260707391284</v>
      </c>
      <c r="N9" s="9">
        <v>12.950143622549577</v>
      </c>
      <c r="O9" s="9">
        <v>13.917694153304861</v>
      </c>
      <c r="P9" s="9">
        <v>14.038001335699169</v>
      </c>
    </row>
    <row r="10" spans="1:16">
      <c r="A10" s="26">
        <v>9</v>
      </c>
      <c r="B10" s="9">
        <v>15.241375839852394</v>
      </c>
      <c r="C10" s="9">
        <v>15.417775816698031</v>
      </c>
      <c r="D10" s="9">
        <v>15.99084559714089</v>
      </c>
      <c r="E10" s="9">
        <v>16.435322255169321</v>
      </c>
      <c r="F10" s="9">
        <v>17.916043802548284</v>
      </c>
      <c r="G10" s="9">
        <v>19.126268391941849</v>
      </c>
      <c r="H10" s="9">
        <v>17.874535640865645</v>
      </c>
      <c r="I10" s="9">
        <v>18.476627700260448</v>
      </c>
      <c r="J10" s="29">
        <v>18.281673126816212</v>
      </c>
      <c r="K10" s="9">
        <v>19.152201510275397</v>
      </c>
      <c r="L10" s="9">
        <v>21.889831493483847</v>
      </c>
      <c r="M10" s="9">
        <v>20.420496446281113</v>
      </c>
      <c r="N10" s="9">
        <v>22.226592380590166</v>
      </c>
      <c r="O10" s="9">
        <v>24.723777396678738</v>
      </c>
      <c r="P10" s="9">
        <v>24.618650975847586</v>
      </c>
    </row>
    <row r="11" spans="1:16">
      <c r="A11" s="26">
        <v>10</v>
      </c>
      <c r="B11" s="9">
        <v>16.582285222635669</v>
      </c>
      <c r="C11" s="9">
        <v>15.141686553596426</v>
      </c>
      <c r="D11" s="9">
        <v>16.607447563251228</v>
      </c>
      <c r="E11" s="9">
        <v>16.786749878290308</v>
      </c>
      <c r="F11" s="9">
        <v>16.799985370432385</v>
      </c>
      <c r="G11" s="9">
        <v>17.565861235242764</v>
      </c>
      <c r="H11" s="9">
        <v>16.770432898427941</v>
      </c>
      <c r="I11" s="9">
        <v>16.792483010814273</v>
      </c>
      <c r="J11" s="29">
        <v>17.234455547068929</v>
      </c>
      <c r="K11" s="9">
        <v>17.482945655052603</v>
      </c>
      <c r="L11" s="9">
        <v>17.263609221090434</v>
      </c>
      <c r="M11" s="9">
        <v>16.403446961188131</v>
      </c>
      <c r="N11" s="9">
        <v>17.982195905078488</v>
      </c>
      <c r="O11" s="9">
        <v>18.30260894148034</v>
      </c>
      <c r="P11" s="9">
        <v>19.32042217296727</v>
      </c>
    </row>
    <row r="12" spans="1:16">
      <c r="A12" s="26">
        <v>11</v>
      </c>
      <c r="B12" s="9">
        <v>15.743059125957876</v>
      </c>
      <c r="C12" s="9">
        <v>15.212410749762993</v>
      </c>
      <c r="D12" s="9">
        <v>14.376595301559441</v>
      </c>
      <c r="E12" s="9">
        <v>13.495952347499319</v>
      </c>
      <c r="F12" s="9">
        <v>13.371058495179151</v>
      </c>
      <c r="G12" s="9">
        <v>14.133557092729722</v>
      </c>
      <c r="H12" s="9">
        <v>13.760639269921032</v>
      </c>
      <c r="I12" s="9">
        <v>13.094325332097737</v>
      </c>
      <c r="J12" s="29">
        <v>14.37515828000492</v>
      </c>
      <c r="K12" s="9">
        <v>14.647447989127951</v>
      </c>
      <c r="L12" s="9">
        <v>15.086548201948695</v>
      </c>
      <c r="M12" s="9">
        <v>15.805857660126083</v>
      </c>
      <c r="N12" s="9">
        <v>16.901914274588222</v>
      </c>
      <c r="O12" s="9">
        <v>17.332677130644534</v>
      </c>
      <c r="P12" s="9">
        <v>16.396688855969618</v>
      </c>
    </row>
    <row r="13" spans="1:16">
      <c r="A13" s="26">
        <v>12</v>
      </c>
      <c r="B13" s="9">
        <v>16.963755049259827</v>
      </c>
      <c r="C13" s="9">
        <v>16.151540774241369</v>
      </c>
      <c r="D13" s="9">
        <v>16.239190832185962</v>
      </c>
      <c r="E13" s="9">
        <v>15.763536202470583</v>
      </c>
      <c r="F13" s="9">
        <v>15.874547320240985</v>
      </c>
      <c r="G13" s="9">
        <v>15.299763341123896</v>
      </c>
      <c r="H13" s="9">
        <v>16.898935973191342</v>
      </c>
      <c r="I13" s="9">
        <v>16.982897078207479</v>
      </c>
      <c r="J13" s="29">
        <v>15.868456571174494</v>
      </c>
      <c r="K13" s="9">
        <v>18.687045372763862</v>
      </c>
      <c r="L13" s="9">
        <v>18.268962480111966</v>
      </c>
      <c r="M13" s="9">
        <v>19.447000192608577</v>
      </c>
      <c r="N13" s="9">
        <v>17.761145955921741</v>
      </c>
      <c r="O13" s="9">
        <v>18.106646438613669</v>
      </c>
      <c r="P13" s="9">
        <v>18.87273240949278</v>
      </c>
    </row>
    <row r="14" spans="1:16">
      <c r="A14" s="26">
        <v>13</v>
      </c>
      <c r="B14" s="9">
        <v>15.464480834514275</v>
      </c>
      <c r="C14" s="9">
        <v>18.969391465208268</v>
      </c>
      <c r="D14" s="9">
        <v>18.638721429136911</v>
      </c>
      <c r="E14" s="9">
        <v>16.958468357159898</v>
      </c>
      <c r="F14" s="9">
        <v>17.488735954143927</v>
      </c>
      <c r="G14" s="9">
        <v>16.131725729049794</v>
      </c>
      <c r="H14" s="9">
        <v>16.349012375363671</v>
      </c>
      <c r="I14" s="9">
        <v>16.104297538268533</v>
      </c>
      <c r="J14" s="29">
        <v>15.951414921433768</v>
      </c>
      <c r="K14" s="9">
        <v>15.941274405499748</v>
      </c>
      <c r="L14" s="9">
        <v>14.766481967896048</v>
      </c>
      <c r="M14" s="9">
        <v>15.27813722111747</v>
      </c>
      <c r="N14" s="9">
        <v>15.420412873859989</v>
      </c>
      <c r="O14" s="9">
        <v>15.709719783321896</v>
      </c>
      <c r="P14" s="9">
        <v>14.317949645239501</v>
      </c>
    </row>
    <row r="15" spans="1:16">
      <c r="A15" s="26">
        <v>14</v>
      </c>
      <c r="B15" s="9">
        <v>15.070446501452546</v>
      </c>
      <c r="C15" s="9">
        <v>14.564008498564814</v>
      </c>
      <c r="D15" s="9">
        <v>15.073283772571436</v>
      </c>
      <c r="E15" s="9">
        <v>15.29274073518898</v>
      </c>
      <c r="F15" s="9">
        <v>14.986237859069952</v>
      </c>
      <c r="G15" s="9">
        <v>14.272943534054987</v>
      </c>
      <c r="H15" s="9">
        <v>14.890989144304125</v>
      </c>
      <c r="I15" s="9">
        <v>16.060577162196104</v>
      </c>
      <c r="J15" s="29">
        <v>15.310817219000482</v>
      </c>
      <c r="K15" s="9">
        <v>15.06676127162465</v>
      </c>
      <c r="L15" s="9">
        <v>15.704883977689317</v>
      </c>
      <c r="M15" s="9">
        <v>15.217442666660199</v>
      </c>
      <c r="N15" s="9">
        <v>13.82492050182571</v>
      </c>
      <c r="O15" s="9">
        <v>13.570739925992424</v>
      </c>
      <c r="P15" s="9">
        <v>13.760982598235893</v>
      </c>
    </row>
    <row r="16" spans="1:16">
      <c r="A16" s="26">
        <v>15</v>
      </c>
      <c r="B16" s="9">
        <v>15.073938167678099</v>
      </c>
      <c r="C16" s="9">
        <v>14.14244278700505</v>
      </c>
      <c r="D16" s="9">
        <v>14.833771706472717</v>
      </c>
      <c r="E16" s="9">
        <v>14.610628238493398</v>
      </c>
      <c r="F16" s="9">
        <v>14.898852741087635</v>
      </c>
      <c r="G16" s="9">
        <v>15.544370230401215</v>
      </c>
      <c r="H16" s="9">
        <v>16.526604547530333</v>
      </c>
      <c r="I16" s="9">
        <v>17.300427315535639</v>
      </c>
      <c r="J16" s="29">
        <v>17.692063969877356</v>
      </c>
      <c r="K16" s="9">
        <v>17.46490802673295</v>
      </c>
      <c r="L16" s="9">
        <v>18.655121624199079</v>
      </c>
      <c r="M16" s="9">
        <v>18.873824552004301</v>
      </c>
      <c r="N16" s="9">
        <v>18.831609275023197</v>
      </c>
      <c r="O16" s="9">
        <v>18.690831553415769</v>
      </c>
      <c r="P16" s="9">
        <v>17.379634720659368</v>
      </c>
    </row>
    <row r="17" spans="1:16">
      <c r="A17" s="26">
        <v>16</v>
      </c>
      <c r="B17" s="9">
        <v>15.392824478727562</v>
      </c>
      <c r="C17" s="9">
        <v>15.226601847396761</v>
      </c>
      <c r="D17" s="9">
        <v>15.237781796984233</v>
      </c>
      <c r="E17" s="9">
        <v>17.234636146239744</v>
      </c>
      <c r="F17" s="9">
        <v>18.445250204364616</v>
      </c>
      <c r="G17" s="9">
        <v>18.84859480666422</v>
      </c>
      <c r="H17" s="9">
        <v>19.632963471677325</v>
      </c>
      <c r="I17" s="9">
        <v>18.051681064433602</v>
      </c>
      <c r="J17" s="29">
        <v>20.850815446044852</v>
      </c>
      <c r="K17" s="9">
        <v>18.758415945761975</v>
      </c>
      <c r="L17" s="9">
        <v>19.286452870154431</v>
      </c>
      <c r="M17" s="9">
        <v>19.136481822024134</v>
      </c>
      <c r="N17" s="9">
        <v>18.210624638861134</v>
      </c>
      <c r="O17" s="9">
        <v>20.920181665240737</v>
      </c>
      <c r="P17" s="9">
        <v>20.34680079011741</v>
      </c>
    </row>
    <row r="18" spans="1:16">
      <c r="A18" s="26">
        <v>17</v>
      </c>
      <c r="B18" s="9">
        <v>17.099503987615229</v>
      </c>
      <c r="C18" s="9">
        <v>16.24882064507457</v>
      </c>
      <c r="D18" s="9">
        <v>16.75055360977564</v>
      </c>
      <c r="E18" s="9">
        <v>16.033038332592923</v>
      </c>
      <c r="F18" s="9">
        <v>15.843028128811017</v>
      </c>
      <c r="G18" s="9">
        <v>17.202185458422477</v>
      </c>
      <c r="H18" s="9">
        <v>17.816383195628379</v>
      </c>
      <c r="I18" s="9">
        <v>17.308360782656347</v>
      </c>
      <c r="J18" s="29">
        <v>16.889409600462532</v>
      </c>
      <c r="K18" s="9">
        <v>15.781355750667444</v>
      </c>
      <c r="L18" s="9">
        <v>17.514322022268736</v>
      </c>
      <c r="M18" s="9">
        <v>15.763725163270349</v>
      </c>
      <c r="N18" s="9">
        <v>15.532428309917808</v>
      </c>
      <c r="O18" s="9">
        <v>14.873327405360341</v>
      </c>
      <c r="P18" s="9">
        <v>14.393201681831641</v>
      </c>
    </row>
    <row r="19" spans="1:16">
      <c r="A19" s="26">
        <v>18</v>
      </c>
      <c r="B19" s="9">
        <v>14.103635009597063</v>
      </c>
      <c r="C19" s="9">
        <v>14.340545735286904</v>
      </c>
      <c r="D19" s="9">
        <v>14.314429657715595</v>
      </c>
      <c r="E19" s="9">
        <v>15.193945440294785</v>
      </c>
      <c r="F19" s="9">
        <v>14.583308711872474</v>
      </c>
      <c r="G19" s="9">
        <v>15.087758278102317</v>
      </c>
      <c r="H19" s="9">
        <v>14.298847913016136</v>
      </c>
      <c r="I19" s="9">
        <v>13.820372898448225</v>
      </c>
      <c r="J19" s="29">
        <v>13.405285662872966</v>
      </c>
      <c r="K19" s="9">
        <v>12.590084171871652</v>
      </c>
      <c r="L19" s="9">
        <v>12.159593873694849</v>
      </c>
      <c r="M19" s="9">
        <v>12.889050475725329</v>
      </c>
      <c r="N19" s="9">
        <v>11.387547932830573</v>
      </c>
      <c r="O19" s="9">
        <v>10.698709064870478</v>
      </c>
      <c r="P19" s="9">
        <v>10.110130171328883</v>
      </c>
    </row>
    <row r="20" spans="1:16">
      <c r="A20" s="26">
        <v>19</v>
      </c>
      <c r="B20" s="9">
        <v>16.523075847861929</v>
      </c>
      <c r="C20" s="9">
        <v>17.913171081070185</v>
      </c>
      <c r="D20" s="9">
        <v>18.645144348988207</v>
      </c>
      <c r="E20" s="9">
        <v>19.453653897187738</v>
      </c>
      <c r="F20" s="9">
        <v>20.633503456265782</v>
      </c>
      <c r="G20" s="9">
        <v>18.90668481889756</v>
      </c>
      <c r="H20" s="9">
        <v>17.509588743366646</v>
      </c>
      <c r="I20" s="9">
        <v>16.666954774215117</v>
      </c>
      <c r="J20" s="29">
        <v>15.547313858619013</v>
      </c>
      <c r="K20" s="9">
        <v>17.490443505668029</v>
      </c>
      <c r="L20" s="9">
        <v>16.798388620567067</v>
      </c>
      <c r="M20" s="9">
        <v>16.522312992470919</v>
      </c>
      <c r="N20" s="9">
        <v>15.814260131127</v>
      </c>
      <c r="O20" s="9">
        <v>14.534275277699853</v>
      </c>
      <c r="P20" s="9">
        <v>15.245361562337632</v>
      </c>
    </row>
    <row r="21" spans="1:16">
      <c r="A21" s="26">
        <v>20</v>
      </c>
      <c r="B21" s="9">
        <v>14.142716290554075</v>
      </c>
      <c r="C21" s="9">
        <v>14.435013205120082</v>
      </c>
      <c r="D21" s="9">
        <v>15.782969381132951</v>
      </c>
      <c r="E21" s="9">
        <v>19.007811677960103</v>
      </c>
      <c r="F21" s="9">
        <v>20.217398309891355</v>
      </c>
      <c r="G21" s="9">
        <v>20.236498588123567</v>
      </c>
      <c r="H21" s="9">
        <v>22.586905359273551</v>
      </c>
      <c r="I21" s="9">
        <v>24.033175705324897</v>
      </c>
      <c r="J21" s="29">
        <v>23.539970657903826</v>
      </c>
      <c r="K21" s="9">
        <v>25.534629546703265</v>
      </c>
      <c r="L21" s="9">
        <v>25.033030242571986</v>
      </c>
      <c r="M21" s="9">
        <v>23.425966972788885</v>
      </c>
      <c r="N21" s="9">
        <v>21.947516207867594</v>
      </c>
      <c r="O21" s="9">
        <v>20.367148875518485</v>
      </c>
      <c r="P21" s="9">
        <v>19.483381281117225</v>
      </c>
    </row>
    <row r="22" spans="1:16">
      <c r="A22" s="26">
        <v>21</v>
      </c>
      <c r="B22" s="9">
        <v>14.761812598328969</v>
      </c>
      <c r="C22" s="9">
        <v>15.405423648016775</v>
      </c>
      <c r="D22" s="9">
        <v>15.947327922224897</v>
      </c>
      <c r="E22" s="9">
        <v>15.267594627936843</v>
      </c>
      <c r="F22" s="9">
        <v>16.80129730528439</v>
      </c>
      <c r="G22" s="9">
        <v>17.221112033639294</v>
      </c>
      <c r="H22" s="9">
        <v>18.227576951817881</v>
      </c>
      <c r="I22" s="9">
        <v>21.988310869328267</v>
      </c>
      <c r="J22" s="29">
        <v>22.910919099195247</v>
      </c>
      <c r="K22" s="9">
        <v>22.062925223865911</v>
      </c>
      <c r="L22" s="9">
        <v>20.6503667396377</v>
      </c>
      <c r="M22" s="9">
        <v>20.855722867547531</v>
      </c>
      <c r="N22" s="9">
        <v>18.634497766844881</v>
      </c>
      <c r="O22" s="9">
        <v>19.492803072172638</v>
      </c>
      <c r="P22" s="9">
        <v>19.238294871458141</v>
      </c>
    </row>
    <row r="23" spans="1:16">
      <c r="A23" s="26">
        <v>22</v>
      </c>
      <c r="B23" s="9">
        <v>15.074714445796525</v>
      </c>
      <c r="C23" s="9">
        <v>17.18495570552771</v>
      </c>
      <c r="D23" s="9">
        <v>17.850252185012529</v>
      </c>
      <c r="E23" s="9">
        <v>18.733841053528749</v>
      </c>
      <c r="F23" s="9">
        <v>19.076501438573963</v>
      </c>
      <c r="G23" s="9">
        <v>19.643924453298865</v>
      </c>
      <c r="H23" s="9">
        <v>20.124340690183644</v>
      </c>
      <c r="I23" s="9">
        <v>21.513741501325999</v>
      </c>
      <c r="J23" s="29">
        <v>25.62690202757754</v>
      </c>
      <c r="K23" s="9">
        <v>24.139948329833196</v>
      </c>
      <c r="L23" s="9">
        <v>26.191603003607927</v>
      </c>
      <c r="M23" s="9">
        <v>27.269977006402254</v>
      </c>
      <c r="N23" s="9">
        <v>29.452928000408118</v>
      </c>
      <c r="O23" s="9">
        <v>28.217926738421696</v>
      </c>
      <c r="P23" s="9">
        <v>28.416714272947413</v>
      </c>
    </row>
    <row r="24" spans="1:16">
      <c r="A24" s="26">
        <v>23</v>
      </c>
      <c r="B24" s="9">
        <v>16.11393104122315</v>
      </c>
      <c r="C24" s="9">
        <v>18.696562889426801</v>
      </c>
      <c r="D24" s="9">
        <v>18.258697320390365</v>
      </c>
      <c r="E24" s="9">
        <v>17.644124842886409</v>
      </c>
      <c r="F24" s="9">
        <v>17.160950868688996</v>
      </c>
      <c r="G24" s="9">
        <v>18.604329634789213</v>
      </c>
      <c r="H24" s="9">
        <v>19.696265636636827</v>
      </c>
      <c r="I24" s="9">
        <v>21.054490438971392</v>
      </c>
      <c r="J24" s="29">
        <v>21.809432019171748</v>
      </c>
      <c r="K24" s="9">
        <v>19.485644924367367</v>
      </c>
      <c r="L24" s="9">
        <v>17.183565139322567</v>
      </c>
      <c r="M24" s="9">
        <v>18.294008123113699</v>
      </c>
      <c r="N24" s="9">
        <v>18.440485554474733</v>
      </c>
      <c r="O24" s="9">
        <v>18.063940923791591</v>
      </c>
      <c r="P24" s="9">
        <v>20.756888580973047</v>
      </c>
    </row>
    <row r="25" spans="1:16">
      <c r="A25" s="26">
        <v>24</v>
      </c>
      <c r="B25" s="9">
        <v>16.014820322291314</v>
      </c>
      <c r="C25" s="9">
        <v>16.166520391741198</v>
      </c>
      <c r="D25" s="9">
        <v>15.646366171834217</v>
      </c>
      <c r="E25" s="9">
        <v>15.429646913260225</v>
      </c>
      <c r="F25" s="9">
        <v>17.160338908886047</v>
      </c>
      <c r="G25" s="9">
        <v>16.209803313625681</v>
      </c>
      <c r="H25" s="9">
        <v>15.540885490034155</v>
      </c>
      <c r="I25" s="9">
        <v>15.134568956875199</v>
      </c>
      <c r="J25" s="29">
        <v>16.811728043895044</v>
      </c>
      <c r="K25" s="9">
        <v>17.091081985609883</v>
      </c>
      <c r="L25" s="9">
        <v>16.938520701312807</v>
      </c>
      <c r="M25" s="9">
        <v>17.084144339606702</v>
      </c>
      <c r="N25" s="9">
        <v>15.753778207881416</v>
      </c>
      <c r="O25" s="9">
        <v>14.44949105906082</v>
      </c>
      <c r="P25" s="9">
        <v>17.013317105560596</v>
      </c>
    </row>
    <row r="26" spans="1:16">
      <c r="A26" s="26">
        <v>25</v>
      </c>
      <c r="B26" s="9">
        <v>16.099920186908673</v>
      </c>
      <c r="C26" s="9">
        <v>15.846179162351909</v>
      </c>
      <c r="D26" s="9">
        <v>14.072394926143847</v>
      </c>
      <c r="E26" s="9">
        <v>13.263625287943476</v>
      </c>
      <c r="F26" s="9">
        <v>13.977505180513241</v>
      </c>
      <c r="G26" s="9">
        <v>14.043442496091172</v>
      </c>
      <c r="H26" s="9">
        <v>13.305624446793837</v>
      </c>
      <c r="I26" s="9">
        <v>13.577366448859395</v>
      </c>
      <c r="J26" s="29">
        <v>13.519139400948767</v>
      </c>
      <c r="K26" s="9">
        <v>14.000288400015217</v>
      </c>
      <c r="L26" s="9">
        <v>15.868985833132363</v>
      </c>
      <c r="M26" s="9">
        <v>15.949366780133499</v>
      </c>
      <c r="N26" s="9">
        <v>17.912597109222514</v>
      </c>
      <c r="O26" s="9">
        <v>19.115860583682604</v>
      </c>
      <c r="P26" s="9">
        <v>20.633120595906419</v>
      </c>
    </row>
    <row r="27" spans="1:16">
      <c r="A27" s="26">
        <v>26</v>
      </c>
      <c r="B27" s="9">
        <v>14.89327409960781</v>
      </c>
      <c r="C27" s="9">
        <v>16.225640884317276</v>
      </c>
      <c r="D27" s="9">
        <v>16.04351437779318</v>
      </c>
      <c r="E27" s="9">
        <v>17.71845399397511</v>
      </c>
      <c r="F27" s="9">
        <v>17.93687361607568</v>
      </c>
      <c r="G27" s="9">
        <v>17.56210285095348</v>
      </c>
      <c r="H27" s="9">
        <v>19.227017955057924</v>
      </c>
      <c r="I27" s="9">
        <v>22.620035880441336</v>
      </c>
      <c r="J27" s="29">
        <v>22.770658509652332</v>
      </c>
      <c r="K27" s="9">
        <v>23.636008744977836</v>
      </c>
      <c r="L27" s="9">
        <v>24.037472324622293</v>
      </c>
      <c r="M27" s="9">
        <v>24.937711661353536</v>
      </c>
      <c r="N27" s="9">
        <v>21.743373455758174</v>
      </c>
      <c r="O27" s="9">
        <v>20.683761470292506</v>
      </c>
      <c r="P27" s="9">
        <v>23.56859133113235</v>
      </c>
    </row>
    <row r="28" spans="1:16">
      <c r="A28" s="26">
        <v>27</v>
      </c>
      <c r="B28" s="9">
        <v>14.480115444026888</v>
      </c>
      <c r="C28" s="9">
        <v>15.503880184142695</v>
      </c>
      <c r="D28" s="9">
        <v>14.433686357489572</v>
      </c>
      <c r="E28" s="9">
        <v>12.69625495251023</v>
      </c>
      <c r="F28" s="9">
        <v>11.918253547454983</v>
      </c>
      <c r="G28" s="9">
        <v>10.435080644647188</v>
      </c>
      <c r="H28" s="9">
        <v>10.887189856350561</v>
      </c>
      <c r="I28" s="9">
        <v>11.465338678031129</v>
      </c>
      <c r="J28" s="29">
        <v>11.076110126573463</v>
      </c>
      <c r="K28" s="9">
        <v>10.821324689411743</v>
      </c>
      <c r="L28" s="9">
        <v>11.154284137158424</v>
      </c>
      <c r="M28" s="9">
        <v>11.110119751119322</v>
      </c>
      <c r="N28" s="9">
        <v>11.314235150394209</v>
      </c>
      <c r="O28" s="9">
        <v>12.73527635710537</v>
      </c>
      <c r="P28" s="9">
        <v>12.045465638425378</v>
      </c>
    </row>
    <row r="29" spans="1:16">
      <c r="A29" s="26">
        <v>28</v>
      </c>
      <c r="B29" s="9">
        <v>15.325556405648838</v>
      </c>
      <c r="C29" s="9">
        <v>15.266672491160238</v>
      </c>
      <c r="D29" s="9">
        <v>15.124813496172365</v>
      </c>
      <c r="E29" s="9">
        <v>15.216995409166293</v>
      </c>
      <c r="F29" s="9">
        <v>15.206319521809178</v>
      </c>
      <c r="G29" s="9">
        <v>14.717414134608125</v>
      </c>
      <c r="H29" s="9">
        <v>14.250133978243481</v>
      </c>
      <c r="I29" s="9">
        <v>14.226155792643034</v>
      </c>
      <c r="J29" s="29">
        <v>12.646733326618728</v>
      </c>
      <c r="K29" s="9">
        <v>12.285053968804528</v>
      </c>
      <c r="L29" s="9">
        <v>12.781768210725089</v>
      </c>
      <c r="M29" s="9">
        <v>12.005180332951575</v>
      </c>
      <c r="N29" s="9">
        <v>12.290476194104384</v>
      </c>
      <c r="O29" s="9">
        <v>13.577169465971087</v>
      </c>
      <c r="P29" s="9">
        <v>14.859476393054631</v>
      </c>
    </row>
    <row r="30" spans="1:16">
      <c r="A30" s="26">
        <v>29</v>
      </c>
      <c r="B30" s="9">
        <v>17.693376799005389</v>
      </c>
      <c r="C30" s="9">
        <v>17.778484202716946</v>
      </c>
      <c r="D30" s="9">
        <v>17.479783231270268</v>
      </c>
      <c r="E30" s="9">
        <v>19.417737754169906</v>
      </c>
      <c r="F30" s="9">
        <v>18.900535350847051</v>
      </c>
      <c r="G30" s="9">
        <v>20.132823757434629</v>
      </c>
      <c r="H30" s="9">
        <v>21.285889959676542</v>
      </c>
      <c r="I30" s="9">
        <v>21.61942982957618</v>
      </c>
      <c r="J30" s="29">
        <v>22.904782558585694</v>
      </c>
      <c r="K30" s="9">
        <v>24.963457481020043</v>
      </c>
      <c r="L30" s="9">
        <v>26.967178735236978</v>
      </c>
      <c r="M30" s="9">
        <v>26.097518099037202</v>
      </c>
      <c r="N30" s="9">
        <v>26.461375878431362</v>
      </c>
      <c r="O30" s="9">
        <v>26.429273852894831</v>
      </c>
      <c r="P30" s="9">
        <v>28.951225581009147</v>
      </c>
    </row>
    <row r="31" spans="1:16">
      <c r="A31" s="26">
        <v>30</v>
      </c>
      <c r="B31" s="9">
        <v>15.916533112020868</v>
      </c>
      <c r="C31" s="9">
        <v>14.846928787650825</v>
      </c>
      <c r="D31" s="9">
        <v>14.816906993994804</v>
      </c>
      <c r="E31" s="9">
        <v>14.725725012469846</v>
      </c>
      <c r="F31" s="9">
        <v>15.724788504883787</v>
      </c>
      <c r="G31" s="9">
        <v>16.361871494513654</v>
      </c>
      <c r="H31" s="9">
        <v>15.2669977398015</v>
      </c>
      <c r="I31" s="9">
        <v>14.186694226488669</v>
      </c>
      <c r="J31" s="29">
        <v>15.176381786872875</v>
      </c>
      <c r="K31" s="9">
        <v>13.669999535633963</v>
      </c>
      <c r="L31" s="9">
        <v>14.696584165915411</v>
      </c>
      <c r="M31" s="9">
        <v>14.972214605588778</v>
      </c>
      <c r="N31" s="9">
        <v>13.534833555684408</v>
      </c>
      <c r="O31" s="9">
        <v>16.10373108211212</v>
      </c>
      <c r="P31" s="9">
        <v>16.969377415202938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4.1479365729966133</v>
      </c>
      <c r="C2" s="9">
        <v>4.1968934154649125</v>
      </c>
      <c r="D2" s="9">
        <v>3.787319677608719</v>
      </c>
      <c r="E2" s="9">
        <v>3.6943282261832833</v>
      </c>
      <c r="F2" s="9">
        <v>3.863390411855359</v>
      </c>
      <c r="G2" s="9">
        <v>3.7689977440325015</v>
      </c>
      <c r="H2" s="9">
        <v>3.6700156963078667</v>
      </c>
      <c r="I2" s="9">
        <v>3.7045245163558658</v>
      </c>
      <c r="J2" s="29">
        <v>3.699143743346085</v>
      </c>
      <c r="K2" s="9">
        <v>3.7005130749874322</v>
      </c>
      <c r="L2" s="9">
        <v>3.5445010018202843</v>
      </c>
      <c r="M2" s="9">
        <v>3.4703486890630293</v>
      </c>
      <c r="N2" s="9">
        <v>3.380790159356001</v>
      </c>
      <c r="O2" s="9">
        <v>3.4644955741728123</v>
      </c>
      <c r="P2" s="9">
        <v>3.389598492898513</v>
      </c>
    </row>
    <row r="3" spans="1:16">
      <c r="A3" s="26">
        <v>2</v>
      </c>
      <c r="B3" s="9">
        <v>3.9226412259407457</v>
      </c>
      <c r="C3" s="9">
        <v>3.8025838566998904</v>
      </c>
      <c r="D3" s="9">
        <v>3.9768803535878576</v>
      </c>
      <c r="E3" s="9">
        <v>4.1415372489405584</v>
      </c>
      <c r="F3" s="9">
        <v>4.0128122456006468</v>
      </c>
      <c r="G3" s="9">
        <v>4.2162798762389988</v>
      </c>
      <c r="H3" s="9">
        <v>4.1499913114097815</v>
      </c>
      <c r="I3" s="9">
        <v>4.4900065813050913</v>
      </c>
      <c r="J3" s="29">
        <v>4.4109885124354795</v>
      </c>
      <c r="K3" s="9">
        <v>4.4394978345314708</v>
      </c>
      <c r="L3" s="9">
        <v>4.4193871714650328</v>
      </c>
      <c r="M3" s="9">
        <v>4.3134238210150073</v>
      </c>
      <c r="N3" s="9">
        <v>4.3219493487550418</v>
      </c>
      <c r="O3" s="9">
        <v>4.4803645878117022</v>
      </c>
      <c r="P3" s="9">
        <v>4.4413186388942805</v>
      </c>
    </row>
    <row r="4" spans="1:16">
      <c r="A4" s="26">
        <v>3</v>
      </c>
      <c r="B4" s="9">
        <v>3.9488082297385421</v>
      </c>
      <c r="C4" s="9">
        <v>3.9833486924586827</v>
      </c>
      <c r="D4" s="9">
        <v>3.8502194915934833</v>
      </c>
      <c r="E4" s="9">
        <v>3.8027003853992722</v>
      </c>
      <c r="F4" s="9">
        <v>3.582682050136095</v>
      </c>
      <c r="G4" s="9">
        <v>3.613107104700267</v>
      </c>
      <c r="H4" s="9">
        <v>3.8896958857405957</v>
      </c>
      <c r="I4" s="9">
        <v>4.1063117893462993</v>
      </c>
      <c r="J4" s="29">
        <v>4.2510301822296697</v>
      </c>
      <c r="K4" s="9">
        <v>4.3437572504280766</v>
      </c>
      <c r="L4" s="9">
        <v>4.2377476486486545</v>
      </c>
      <c r="M4" s="9">
        <v>4.1016103135435076</v>
      </c>
      <c r="N4" s="9">
        <v>4.1284830875451854</v>
      </c>
      <c r="O4" s="9">
        <v>4.0997775417418669</v>
      </c>
      <c r="P4" s="9">
        <v>4.0134639357845492</v>
      </c>
    </row>
    <row r="5" spans="1:16">
      <c r="A5" s="26">
        <v>4</v>
      </c>
      <c r="B5" s="9">
        <v>3.6933801242074908</v>
      </c>
      <c r="C5" s="9">
        <v>3.5369791176238006</v>
      </c>
      <c r="D5" s="9">
        <v>3.354307048844472</v>
      </c>
      <c r="E5" s="9">
        <v>3.4383735171458709</v>
      </c>
      <c r="F5" s="9">
        <v>3.5118795970070313</v>
      </c>
      <c r="G5" s="9">
        <v>3.5847606245281751</v>
      </c>
      <c r="H5" s="9">
        <v>3.2991924874682019</v>
      </c>
      <c r="I5" s="9">
        <v>3.1706222117624012</v>
      </c>
      <c r="J5" s="29">
        <v>3.3183536426835039</v>
      </c>
      <c r="K5" s="9">
        <v>3.4929345885640548</v>
      </c>
      <c r="L5" s="9">
        <v>3.3874949978276154</v>
      </c>
      <c r="M5" s="9">
        <v>3.2653863713873323</v>
      </c>
      <c r="N5" s="9">
        <v>3.3617679121885722</v>
      </c>
      <c r="O5" s="9">
        <v>3.2334417290955302</v>
      </c>
      <c r="P5" s="9">
        <v>3.2075730267606248</v>
      </c>
    </row>
    <row r="6" spans="1:16">
      <c r="A6" s="26">
        <v>5</v>
      </c>
      <c r="B6" s="9">
        <v>3.6563010654688384</v>
      </c>
      <c r="C6" s="9">
        <v>3.5903661518995915</v>
      </c>
      <c r="D6" s="9">
        <v>3.762626771054927</v>
      </c>
      <c r="E6" s="9">
        <v>3.6965635255916607</v>
      </c>
      <c r="F6" s="9">
        <v>3.5676254867330521</v>
      </c>
      <c r="G6" s="9">
        <v>3.5534301021885679</v>
      </c>
      <c r="H6" s="9">
        <v>3.6552837039593977</v>
      </c>
      <c r="I6" s="9">
        <v>3.8092975453140059</v>
      </c>
      <c r="J6" s="29">
        <v>3.6963371246008343</v>
      </c>
      <c r="K6" s="9">
        <v>3.557769108566792</v>
      </c>
      <c r="L6" s="9">
        <v>3.6058822535134918</v>
      </c>
      <c r="M6" s="9">
        <v>3.6317250025277086</v>
      </c>
      <c r="N6" s="9">
        <v>3.895397905059037</v>
      </c>
      <c r="O6" s="9">
        <v>3.8594039849922317</v>
      </c>
      <c r="P6" s="9">
        <v>3.8034811597087708</v>
      </c>
    </row>
    <row r="7" spans="1:16">
      <c r="A7" s="26">
        <v>6</v>
      </c>
      <c r="B7" s="9">
        <v>3.8699582839665831</v>
      </c>
      <c r="C7" s="9">
        <v>4.0094065519159274</v>
      </c>
      <c r="D7" s="9">
        <v>3.9494753808561822</v>
      </c>
      <c r="E7" s="9">
        <v>3.9979459499578489</v>
      </c>
      <c r="F7" s="9">
        <v>4.1773287450380883</v>
      </c>
      <c r="G7" s="9">
        <v>4.2994256667383492</v>
      </c>
      <c r="H7" s="9">
        <v>4.4706755963205316</v>
      </c>
      <c r="I7" s="9">
        <v>4.3393010735560598</v>
      </c>
      <c r="J7" s="29">
        <v>4.0323863003378797</v>
      </c>
      <c r="K7" s="9">
        <v>3.956944839234716</v>
      </c>
      <c r="L7" s="9">
        <v>4.1060402323771257</v>
      </c>
      <c r="M7" s="9">
        <v>4.2067915646531828</v>
      </c>
      <c r="N7" s="9">
        <v>4.447490930802533</v>
      </c>
      <c r="O7" s="9">
        <v>4.2270578758137258</v>
      </c>
      <c r="P7" s="9">
        <v>4.3267168425066398</v>
      </c>
    </row>
    <row r="8" spans="1:16">
      <c r="A8" s="26">
        <v>7</v>
      </c>
      <c r="B8" s="9">
        <v>4.1839193636095278</v>
      </c>
      <c r="C8" s="9">
        <v>4.4305959546133282</v>
      </c>
      <c r="D8" s="9">
        <v>4.0138103894446733</v>
      </c>
      <c r="E8" s="9">
        <v>4.0021026387409977</v>
      </c>
      <c r="F8" s="9">
        <v>3.9507981109228756</v>
      </c>
      <c r="G8" s="9">
        <v>3.7614229835060007</v>
      </c>
      <c r="H8" s="9">
        <v>3.7843797526502412</v>
      </c>
      <c r="I8" s="9">
        <v>3.6612996760300329</v>
      </c>
      <c r="J8" s="29">
        <v>3.715019668142062</v>
      </c>
      <c r="K8" s="9">
        <v>3.8364510566406964</v>
      </c>
      <c r="L8" s="9">
        <v>3.9363933569645915</v>
      </c>
      <c r="M8" s="9">
        <v>4.3241334871422668</v>
      </c>
      <c r="N8" s="9">
        <v>4.2971373809939823</v>
      </c>
      <c r="O8" s="9">
        <v>3.9393919225135843</v>
      </c>
      <c r="P8" s="9">
        <v>3.9184963216185804</v>
      </c>
    </row>
    <row r="9" spans="1:16">
      <c r="A9" s="26">
        <v>8</v>
      </c>
      <c r="B9" s="9">
        <v>3.7992775218037536</v>
      </c>
      <c r="C9" s="9">
        <v>3.8735935604429796</v>
      </c>
      <c r="D9" s="9">
        <v>4.0103142154953497</v>
      </c>
      <c r="E9" s="9">
        <v>3.9809706784447245</v>
      </c>
      <c r="F9" s="9">
        <v>3.5413365606879532</v>
      </c>
      <c r="G9" s="9">
        <v>3.5812768964750967</v>
      </c>
      <c r="H9" s="9">
        <v>3.7521145439312096</v>
      </c>
      <c r="I9" s="9">
        <v>3.9133955618450615</v>
      </c>
      <c r="J9" s="29">
        <v>3.8903878633418096</v>
      </c>
      <c r="K9" s="9">
        <v>3.9065220560462386</v>
      </c>
      <c r="L9" s="9">
        <v>4.2568029285951612</v>
      </c>
      <c r="M9" s="9">
        <v>4.1542062897103742</v>
      </c>
      <c r="N9" s="9">
        <v>3.9424029654943991</v>
      </c>
      <c r="O9" s="9">
        <v>3.9143386478414586</v>
      </c>
      <c r="P9" s="9">
        <v>3.9060300944494131</v>
      </c>
    </row>
    <row r="10" spans="1:16">
      <c r="A10" s="26">
        <v>9</v>
      </c>
      <c r="B10" s="9">
        <v>3.771027505902155</v>
      </c>
      <c r="C10" s="9">
        <v>3.8657127582380082</v>
      </c>
      <c r="D10" s="9">
        <v>4.1860057823608106</v>
      </c>
      <c r="E10" s="9">
        <v>4.1949131051495492</v>
      </c>
      <c r="F10" s="9">
        <v>4.4003390841025878</v>
      </c>
      <c r="G10" s="9">
        <v>4.6216639702323139</v>
      </c>
      <c r="H10" s="9">
        <v>4.1239320558026362</v>
      </c>
      <c r="I10" s="9">
        <v>3.9574732476534273</v>
      </c>
      <c r="J10" s="29">
        <v>3.8833968956311304</v>
      </c>
      <c r="K10" s="9">
        <v>4.0465270919580298</v>
      </c>
      <c r="L10" s="9">
        <v>4.1516840710412746</v>
      </c>
      <c r="M10" s="9">
        <v>4.1307711211671849</v>
      </c>
      <c r="N10" s="9">
        <v>4.2578887112725008</v>
      </c>
      <c r="O10" s="9">
        <v>4.3585179783342776</v>
      </c>
      <c r="P10" s="9">
        <v>4.1706005706593761</v>
      </c>
    </row>
    <row r="11" spans="1:16">
      <c r="A11" s="26">
        <v>10</v>
      </c>
      <c r="B11" s="9">
        <v>3.9028801342881625</v>
      </c>
      <c r="C11" s="9">
        <v>3.9573009405223636</v>
      </c>
      <c r="D11" s="9">
        <v>3.7388709034672059</v>
      </c>
      <c r="E11" s="9">
        <v>3.6502440609587667</v>
      </c>
      <c r="F11" s="9">
        <v>3.9808376810535302</v>
      </c>
      <c r="G11" s="9">
        <v>3.8552933010571331</v>
      </c>
      <c r="H11" s="9">
        <v>3.6040889582872584</v>
      </c>
      <c r="I11" s="9">
        <v>3.6752038954348829</v>
      </c>
      <c r="J11" s="29">
        <v>3.669182170820422</v>
      </c>
      <c r="K11" s="9">
        <v>3.4026906489229956</v>
      </c>
      <c r="L11" s="9">
        <v>3.5308952311824995</v>
      </c>
      <c r="M11" s="9">
        <v>3.7061661265881356</v>
      </c>
      <c r="N11" s="9">
        <v>3.8223533402650021</v>
      </c>
      <c r="O11" s="9">
        <v>3.9232521960537543</v>
      </c>
      <c r="P11" s="9">
        <v>3.9934204821080042</v>
      </c>
    </row>
    <row r="12" spans="1:16">
      <c r="A12" s="26">
        <v>11</v>
      </c>
      <c r="B12" s="9">
        <v>3.9265257805472182</v>
      </c>
      <c r="C12" s="9">
        <v>4.1985800379351454</v>
      </c>
      <c r="D12" s="9">
        <v>4.247313785037103</v>
      </c>
      <c r="E12" s="9">
        <v>4.7554674147759268</v>
      </c>
      <c r="F12" s="9">
        <v>5.1445487935512864</v>
      </c>
      <c r="G12" s="9">
        <v>5.2476727008902673</v>
      </c>
      <c r="H12" s="9">
        <v>5.0956175968880135</v>
      </c>
      <c r="I12" s="9">
        <v>5.2413337118357681</v>
      </c>
      <c r="J12" s="29">
        <v>5.4167923427501004</v>
      </c>
      <c r="K12" s="9">
        <v>5.0937491303257527</v>
      </c>
      <c r="L12" s="9">
        <v>4.6724490422047857</v>
      </c>
      <c r="M12" s="9">
        <v>4.4980743585507543</v>
      </c>
      <c r="N12" s="9">
        <v>4.5015982145530522</v>
      </c>
      <c r="O12" s="9">
        <v>4.4790014550031625</v>
      </c>
      <c r="P12" s="9">
        <v>4.5900962866851147</v>
      </c>
    </row>
    <row r="13" spans="1:16">
      <c r="A13" s="26">
        <v>12</v>
      </c>
      <c r="B13" s="9">
        <v>3.816350182242696</v>
      </c>
      <c r="C13" s="9">
        <v>3.6601488090186578</v>
      </c>
      <c r="D13" s="9">
        <v>3.9014560379981535</v>
      </c>
      <c r="E13" s="9">
        <v>4.2978239884210865</v>
      </c>
      <c r="F13" s="9">
        <v>4.1813110465289656</v>
      </c>
      <c r="G13" s="9">
        <v>3.9970552655418841</v>
      </c>
      <c r="H13" s="9">
        <v>3.8348807691503559</v>
      </c>
      <c r="I13" s="9">
        <v>3.8679443795634678</v>
      </c>
      <c r="J13" s="29">
        <v>3.7366877002919181</v>
      </c>
      <c r="K13" s="9">
        <v>4.1949692416604494</v>
      </c>
      <c r="L13" s="9">
        <v>3.9839353841878609</v>
      </c>
      <c r="M13" s="9">
        <v>4.1687558003862604</v>
      </c>
      <c r="N13" s="9">
        <v>4.1176640096697872</v>
      </c>
      <c r="O13" s="9">
        <v>3.9991963154863579</v>
      </c>
      <c r="P13" s="9">
        <v>4.0603921933413778</v>
      </c>
    </row>
    <row r="14" spans="1:16">
      <c r="A14" s="26">
        <v>13</v>
      </c>
      <c r="B14" s="9">
        <v>4.1626183422663701</v>
      </c>
      <c r="C14" s="9">
        <v>4.1186149998841577</v>
      </c>
      <c r="D14" s="9">
        <v>4.0602274505314826</v>
      </c>
      <c r="E14" s="9">
        <v>3.9438617905935534</v>
      </c>
      <c r="F14" s="9">
        <v>3.8666666493785939</v>
      </c>
      <c r="G14" s="9">
        <v>3.5223506404486109</v>
      </c>
      <c r="H14" s="9">
        <v>3.6454313244588201</v>
      </c>
      <c r="I14" s="9">
        <v>3.6926791805372932</v>
      </c>
      <c r="J14" s="29">
        <v>3.7171092917318633</v>
      </c>
      <c r="K14" s="9">
        <v>3.9375305639256921</v>
      </c>
      <c r="L14" s="9">
        <v>4.1682805943683139</v>
      </c>
      <c r="M14" s="9">
        <v>4.2151638925205059</v>
      </c>
      <c r="N14" s="9">
        <v>4.5457384202815785</v>
      </c>
      <c r="O14" s="9">
        <v>4.5034821432970489</v>
      </c>
      <c r="P14" s="9">
        <v>4.3792540415195793</v>
      </c>
    </row>
    <row r="15" spans="1:16">
      <c r="A15" s="26">
        <v>14</v>
      </c>
      <c r="B15" s="9">
        <v>3.7809051577236343</v>
      </c>
      <c r="C15" s="9">
        <v>3.9624623482363828</v>
      </c>
      <c r="D15" s="9">
        <v>4.0101498975857623</v>
      </c>
      <c r="E15" s="9">
        <v>4.1649999207451422</v>
      </c>
      <c r="F15" s="9">
        <v>4.0434093351772242</v>
      </c>
      <c r="G15" s="9">
        <v>3.806699846616945</v>
      </c>
      <c r="H15" s="9">
        <v>4.000992029662279</v>
      </c>
      <c r="I15" s="9">
        <v>4.1390314269416386</v>
      </c>
      <c r="J15" s="29">
        <v>4.0728124608983487</v>
      </c>
      <c r="K15" s="9">
        <v>3.9819634765038452</v>
      </c>
      <c r="L15" s="9">
        <v>3.9880177573666256</v>
      </c>
      <c r="M15" s="9">
        <v>3.9249693582162362</v>
      </c>
      <c r="N15" s="9">
        <v>3.8857152473166283</v>
      </c>
      <c r="O15" s="9">
        <v>3.6665428268473788</v>
      </c>
      <c r="P15" s="9">
        <v>3.9952542083017915</v>
      </c>
    </row>
    <row r="16" spans="1:16">
      <c r="A16" s="26">
        <v>15</v>
      </c>
      <c r="B16" s="9">
        <v>4.192810148323554</v>
      </c>
      <c r="C16" s="9">
        <v>4.1620537141735134</v>
      </c>
      <c r="D16" s="9">
        <v>4.1600770998040888</v>
      </c>
      <c r="E16" s="9">
        <v>4.1649312193954877</v>
      </c>
      <c r="F16" s="9">
        <v>4.1038849348345483</v>
      </c>
      <c r="G16" s="9">
        <v>3.6064684113524064</v>
      </c>
      <c r="H16" s="9">
        <v>3.4997741298474967</v>
      </c>
      <c r="I16" s="9">
        <v>3.5557185098517925</v>
      </c>
      <c r="J16" s="29">
        <v>3.709458962151829</v>
      </c>
      <c r="K16" s="9">
        <v>3.5217358349724002</v>
      </c>
      <c r="L16" s="9">
        <v>3.4137061033031291</v>
      </c>
      <c r="M16" s="9">
        <v>3.2865757883979128</v>
      </c>
      <c r="N16" s="9">
        <v>3.3858105377594141</v>
      </c>
      <c r="O16" s="9">
        <v>3.4820761884051805</v>
      </c>
      <c r="P16" s="9">
        <v>3.8111490006853646</v>
      </c>
    </row>
    <row r="17" spans="1:16">
      <c r="A17" s="26">
        <v>16</v>
      </c>
      <c r="B17" s="9">
        <v>3.8132102802257264</v>
      </c>
      <c r="C17" s="9">
        <v>3.7511423013953067</v>
      </c>
      <c r="D17" s="9">
        <v>3.7862817793020613</v>
      </c>
      <c r="E17" s="9">
        <v>4.0277490576834234</v>
      </c>
      <c r="F17" s="9">
        <v>4.1755720412714972</v>
      </c>
      <c r="G17" s="9">
        <v>4.1177487126318271</v>
      </c>
      <c r="H17" s="9">
        <v>4.1152662202609429</v>
      </c>
      <c r="I17" s="9">
        <v>4.0780562581258568</v>
      </c>
      <c r="J17" s="29">
        <v>3.9000101344320375</v>
      </c>
      <c r="K17" s="9">
        <v>4.1794576818016624</v>
      </c>
      <c r="L17" s="9">
        <v>4.3422811573693805</v>
      </c>
      <c r="M17" s="9">
        <v>4.395607482395425</v>
      </c>
      <c r="N17" s="9">
        <v>4.263646311731514</v>
      </c>
      <c r="O17" s="9">
        <v>4.0691514512791267</v>
      </c>
      <c r="P17" s="9">
        <v>4.3060043355971471</v>
      </c>
    </row>
    <row r="18" spans="1:16">
      <c r="A18" s="26">
        <v>17</v>
      </c>
      <c r="B18" s="9">
        <v>3.9137761130777289</v>
      </c>
      <c r="C18" s="9">
        <v>3.8136650184620056</v>
      </c>
      <c r="D18" s="9">
        <v>3.9173206841479322</v>
      </c>
      <c r="E18" s="9">
        <v>4.0281229467285415</v>
      </c>
      <c r="F18" s="9">
        <v>4.4525317861849407</v>
      </c>
      <c r="G18" s="9">
        <v>4.5742693620521093</v>
      </c>
      <c r="H18" s="9">
        <v>4.4597307785222231</v>
      </c>
      <c r="I18" s="9">
        <v>4.542379863156297</v>
      </c>
      <c r="J18" s="29">
        <v>4.579341548271346</v>
      </c>
      <c r="K18" s="9">
        <v>4.4656335628351433</v>
      </c>
      <c r="L18" s="9">
        <v>4.4620083740400869</v>
      </c>
      <c r="M18" s="9">
        <v>4.3632825821532686</v>
      </c>
      <c r="N18" s="9">
        <v>4.5769010601229079</v>
      </c>
      <c r="O18" s="9">
        <v>4.7309056742534814</v>
      </c>
      <c r="P18" s="9">
        <v>4.459202060819262</v>
      </c>
    </row>
    <row r="19" spans="1:16">
      <c r="A19" s="26">
        <v>18</v>
      </c>
      <c r="B19" s="9">
        <v>3.5456831342617354</v>
      </c>
      <c r="C19" s="9">
        <v>3.4622193550540188</v>
      </c>
      <c r="D19" s="9">
        <v>3.9300593223580664</v>
      </c>
      <c r="E19" s="9">
        <v>3.6044035640150374</v>
      </c>
      <c r="F19" s="9">
        <v>3.7698049456054146</v>
      </c>
      <c r="G19" s="9">
        <v>3.7909325555724851</v>
      </c>
      <c r="H19" s="9">
        <v>3.7286919891186043</v>
      </c>
      <c r="I19" s="9">
        <v>3.4939843484710895</v>
      </c>
      <c r="J19" s="29">
        <v>3.9278671923161204</v>
      </c>
      <c r="K19" s="9">
        <v>4.1658054790589123</v>
      </c>
      <c r="L19" s="9">
        <v>4.1112194328237655</v>
      </c>
      <c r="M19" s="9">
        <v>4.1084656395052699</v>
      </c>
      <c r="N19" s="9">
        <v>4.1271810517409531</v>
      </c>
      <c r="O19" s="9">
        <v>3.9297822891764116</v>
      </c>
      <c r="P19" s="9">
        <v>4.0079320279402859</v>
      </c>
    </row>
    <row r="20" spans="1:16">
      <c r="A20" s="26">
        <v>19</v>
      </c>
      <c r="B20" s="9">
        <v>3.7276821712070336</v>
      </c>
      <c r="C20" s="9">
        <v>4.2437594177535454</v>
      </c>
      <c r="D20" s="9">
        <v>3.8204687622505342</v>
      </c>
      <c r="E20" s="9">
        <v>3.4726395731945967</v>
      </c>
      <c r="F20" s="9">
        <v>3.7936413171917178</v>
      </c>
      <c r="G20" s="9">
        <v>3.8968693755093886</v>
      </c>
      <c r="H20" s="9">
        <v>4.1411682032798769</v>
      </c>
      <c r="I20" s="9">
        <v>4.1374178369979591</v>
      </c>
      <c r="J20" s="29">
        <v>4.4374733950626304</v>
      </c>
      <c r="K20" s="9">
        <v>4.3421471914677614</v>
      </c>
      <c r="L20" s="9">
        <v>4.78263293434423</v>
      </c>
      <c r="M20" s="9">
        <v>4.5905819432008625</v>
      </c>
      <c r="N20" s="9">
        <v>4.4582214339529802</v>
      </c>
      <c r="O20" s="9">
        <v>4.5222887475830325</v>
      </c>
      <c r="P20" s="9">
        <v>4.6113128650216213</v>
      </c>
    </row>
    <row r="21" spans="1:16">
      <c r="A21" s="26">
        <v>20</v>
      </c>
      <c r="B21" s="9">
        <v>3.6867077808552677</v>
      </c>
      <c r="C21" s="9">
        <v>3.9644839960891689</v>
      </c>
      <c r="D21" s="9">
        <v>4.008155716885196</v>
      </c>
      <c r="E21" s="9">
        <v>4.0325153655833832</v>
      </c>
      <c r="F21" s="9">
        <v>3.6745768921532309</v>
      </c>
      <c r="G21" s="9">
        <v>3.7629671822292443</v>
      </c>
      <c r="H21" s="9">
        <v>3.7136099231203037</v>
      </c>
      <c r="I21" s="9">
        <v>3.7423816620687611</v>
      </c>
      <c r="J21" s="29">
        <v>3.8097552710438345</v>
      </c>
      <c r="K21" s="9">
        <v>3.9285959510615838</v>
      </c>
      <c r="L21" s="9">
        <v>3.9814168493469224</v>
      </c>
      <c r="M21" s="9">
        <v>4.1449564663488818</v>
      </c>
      <c r="N21" s="9">
        <v>4.0102992365938084</v>
      </c>
      <c r="O21" s="9">
        <v>4.1473197198702847</v>
      </c>
      <c r="P21" s="9">
        <v>3.9980615929600218</v>
      </c>
    </row>
    <row r="22" spans="1:16">
      <c r="A22" s="26">
        <v>21</v>
      </c>
      <c r="B22" s="9">
        <v>4.2097728793331006</v>
      </c>
      <c r="C22" s="9">
        <v>4.2119567434982734</v>
      </c>
      <c r="D22" s="9">
        <v>4.4489567758861597</v>
      </c>
      <c r="E22" s="9">
        <v>4.3668075541372113</v>
      </c>
      <c r="F22" s="9">
        <v>4.7837052031435858</v>
      </c>
      <c r="G22" s="9">
        <v>5.1030399196021907</v>
      </c>
      <c r="H22" s="9">
        <v>4.9166251115722845</v>
      </c>
      <c r="I22" s="9">
        <v>4.8215130163826974</v>
      </c>
      <c r="J22" s="29">
        <v>5.0388602778574088</v>
      </c>
      <c r="K22" s="9">
        <v>4.8574746497959485</v>
      </c>
      <c r="L22" s="9">
        <v>4.4654054979814299</v>
      </c>
      <c r="M22" s="9">
        <v>4.42815595018424</v>
      </c>
      <c r="N22" s="9">
        <v>4.4199292899940117</v>
      </c>
      <c r="O22" s="9">
        <v>4.3774349404940649</v>
      </c>
      <c r="P22" s="9">
        <v>4.4116495939537277</v>
      </c>
    </row>
    <row r="23" spans="1:16">
      <c r="A23" s="26">
        <v>22</v>
      </c>
      <c r="B23" s="9">
        <v>3.7799783347833205</v>
      </c>
      <c r="C23" s="9">
        <v>3.9524008052923216</v>
      </c>
      <c r="D23" s="9">
        <v>3.6928846375990845</v>
      </c>
      <c r="E23" s="9">
        <v>3.3395047816907355</v>
      </c>
      <c r="F23" s="9">
        <v>3.4486078854195519</v>
      </c>
      <c r="G23" s="9">
        <v>3.5052324924245251</v>
      </c>
      <c r="H23" s="9">
        <v>3.8394754557371122</v>
      </c>
      <c r="I23" s="9">
        <v>4.1210579024469594</v>
      </c>
      <c r="J23" s="29">
        <v>4.0833182008515978</v>
      </c>
      <c r="K23" s="9">
        <v>4.0664436077190791</v>
      </c>
      <c r="L23" s="9">
        <v>4.305188127277253</v>
      </c>
      <c r="M23" s="9">
        <v>4.0893953852242744</v>
      </c>
      <c r="N23" s="9">
        <v>3.9387347178561676</v>
      </c>
      <c r="O23" s="9">
        <v>3.7107403376524668</v>
      </c>
      <c r="P23" s="9">
        <v>3.6747864900821998</v>
      </c>
    </row>
    <row r="24" spans="1:16">
      <c r="A24" s="26">
        <v>23</v>
      </c>
      <c r="B24" s="9">
        <v>3.7124129417932981</v>
      </c>
      <c r="C24" s="9">
        <v>3.5426804417256719</v>
      </c>
      <c r="D24" s="9">
        <v>3.4717162494764944</v>
      </c>
      <c r="E24" s="9">
        <v>3.6326549432219752</v>
      </c>
      <c r="F24" s="9">
        <v>3.808403603332871</v>
      </c>
      <c r="G24" s="9">
        <v>3.7926483278232266</v>
      </c>
      <c r="H24" s="9">
        <v>4.0831381363689534</v>
      </c>
      <c r="I24" s="9">
        <v>4.0546038107206526</v>
      </c>
      <c r="J24" s="29">
        <v>4.0146816652583182</v>
      </c>
      <c r="K24" s="9">
        <v>4.3174092003913724</v>
      </c>
      <c r="L24" s="9">
        <v>4.6175351328174994</v>
      </c>
      <c r="M24" s="9">
        <v>4.6242020101165586</v>
      </c>
      <c r="N24" s="9">
        <v>4.8466602144310373</v>
      </c>
      <c r="O24" s="9">
        <v>4.7189300252300734</v>
      </c>
      <c r="P24" s="9">
        <v>4.6819009026910461</v>
      </c>
    </row>
    <row r="25" spans="1:16">
      <c r="A25" s="26">
        <v>24</v>
      </c>
      <c r="B25" s="9">
        <v>3.9819436959132899</v>
      </c>
      <c r="C25" s="9">
        <v>4.0140123218206112</v>
      </c>
      <c r="D25" s="9">
        <v>4.0495921000255546</v>
      </c>
      <c r="E25" s="9">
        <v>3.8438248361534062</v>
      </c>
      <c r="F25" s="9">
        <v>4.0858249493979582</v>
      </c>
      <c r="G25" s="9">
        <v>4.1780899937127689</v>
      </c>
      <c r="H25" s="9">
        <v>4.1998507399608318</v>
      </c>
      <c r="I25" s="9">
        <v>4.1533677807726228</v>
      </c>
      <c r="J25" s="29">
        <v>4.2431450167233029</v>
      </c>
      <c r="K25" s="9">
        <v>4.0908758387208772</v>
      </c>
      <c r="L25" s="9">
        <v>4.1162654837122545</v>
      </c>
      <c r="M25" s="9">
        <v>4.0010423085050135</v>
      </c>
      <c r="N25" s="9">
        <v>4.1698354501519503</v>
      </c>
      <c r="O25" s="9">
        <v>4.1149957478752146</v>
      </c>
      <c r="P25" s="9">
        <v>3.8745781745123655</v>
      </c>
    </row>
    <row r="26" spans="1:16">
      <c r="A26" s="26">
        <v>25</v>
      </c>
      <c r="B26" s="9">
        <v>3.6998569309994718</v>
      </c>
      <c r="C26" s="9">
        <v>3.9460146519589405</v>
      </c>
      <c r="D26" s="9">
        <v>4.0380100203782217</v>
      </c>
      <c r="E26" s="9">
        <v>4.2301017127552329</v>
      </c>
      <c r="F26" s="9">
        <v>4.1433019393249015</v>
      </c>
      <c r="G26" s="9">
        <v>4.1934003376996669</v>
      </c>
      <c r="H26" s="9">
        <v>3.9669083126431439</v>
      </c>
      <c r="I26" s="9">
        <v>4.3626523057574236</v>
      </c>
      <c r="J26" s="29">
        <v>4.5498988435180268</v>
      </c>
      <c r="K26" s="9">
        <v>4.7391311143829018</v>
      </c>
      <c r="L26" s="9">
        <v>4.6030561256205536</v>
      </c>
      <c r="M26" s="9">
        <v>4.3596375197120265</v>
      </c>
      <c r="N26" s="9">
        <v>4.6766472459662456</v>
      </c>
      <c r="O26" s="9">
        <v>5.0478354338548668</v>
      </c>
      <c r="P26" s="9">
        <v>5.0728481404512955</v>
      </c>
    </row>
    <row r="27" spans="1:16">
      <c r="A27" s="26">
        <v>26</v>
      </c>
      <c r="B27" s="9">
        <v>3.9583132470649574</v>
      </c>
      <c r="C27" s="9">
        <v>3.66028280252144</v>
      </c>
      <c r="D27" s="9">
        <v>3.7743287463251298</v>
      </c>
      <c r="E27" s="9">
        <v>3.9532226270146693</v>
      </c>
      <c r="F27" s="9">
        <v>3.8259812426047817</v>
      </c>
      <c r="G27" s="9">
        <v>4.3072383068383786</v>
      </c>
      <c r="H27" s="9">
        <v>4.2456288082543052</v>
      </c>
      <c r="I27" s="9">
        <v>4.2960292994974054</v>
      </c>
      <c r="J27" s="29">
        <v>4.2895037559461864</v>
      </c>
      <c r="K27" s="9">
        <v>4.5087792699220897</v>
      </c>
      <c r="L27" s="9">
        <v>4.5037968660960495</v>
      </c>
      <c r="M27" s="9">
        <v>4.9213767120301535</v>
      </c>
      <c r="N27" s="9">
        <v>4.8565791755707544</v>
      </c>
      <c r="O27" s="9">
        <v>4.8378387987520224</v>
      </c>
      <c r="P27" s="9">
        <v>4.9930921684472507</v>
      </c>
    </row>
    <row r="28" spans="1:16">
      <c r="A28" s="26">
        <v>27</v>
      </c>
      <c r="B28" s="9">
        <v>3.9916631991509917</v>
      </c>
      <c r="C28" s="9">
        <v>3.7194395145252788</v>
      </c>
      <c r="D28" s="9">
        <v>3.7277268944426489</v>
      </c>
      <c r="E28" s="9">
        <v>3.8091857640288191</v>
      </c>
      <c r="F28" s="9">
        <v>3.7200197475371519</v>
      </c>
      <c r="G28" s="9">
        <v>3.6788456383214352</v>
      </c>
      <c r="H28" s="9">
        <v>3.8057855314433735</v>
      </c>
      <c r="I28" s="9">
        <v>3.9444426934970096</v>
      </c>
      <c r="J28" s="29">
        <v>3.8942065664972825</v>
      </c>
      <c r="K28" s="9">
        <v>3.8371974487484168</v>
      </c>
      <c r="L28" s="9">
        <v>4.0488874155088812</v>
      </c>
      <c r="M28" s="9">
        <v>3.9042673319659302</v>
      </c>
      <c r="N28" s="9">
        <v>4.047657185091218</v>
      </c>
      <c r="O28" s="9">
        <v>4.0074896308528425</v>
      </c>
      <c r="P28" s="9">
        <v>4.192361373585026</v>
      </c>
    </row>
    <row r="29" spans="1:16">
      <c r="A29" s="26">
        <v>28</v>
      </c>
      <c r="B29" s="9">
        <v>3.8575361002538409</v>
      </c>
      <c r="C29" s="9">
        <v>3.7189319691966882</v>
      </c>
      <c r="D29" s="9">
        <v>3.8807513896415187</v>
      </c>
      <c r="E29" s="9">
        <v>3.7006786211004776</v>
      </c>
      <c r="F29" s="9">
        <v>3.4853257881093631</v>
      </c>
      <c r="G29" s="9">
        <v>3.5834787599525191</v>
      </c>
      <c r="H29" s="9">
        <v>3.6459132938550693</v>
      </c>
      <c r="I29" s="9">
        <v>3.8003171095396944</v>
      </c>
      <c r="J29" s="29">
        <v>3.7968609234019799</v>
      </c>
      <c r="K29" s="9">
        <v>3.7168785423647397</v>
      </c>
      <c r="L29" s="9">
        <v>3.9602609246494875</v>
      </c>
      <c r="M29" s="9">
        <v>3.9852625688746186</v>
      </c>
      <c r="N29" s="9">
        <v>4.2930270839493732</v>
      </c>
      <c r="O29" s="9">
        <v>4.44523334103304</v>
      </c>
      <c r="P29" s="9">
        <v>4.6077428782958858</v>
      </c>
    </row>
    <row r="30" spans="1:16">
      <c r="A30" s="26">
        <v>29</v>
      </c>
      <c r="B30" s="9">
        <v>3.7449626350897818</v>
      </c>
      <c r="C30" s="9">
        <v>4.0328631170653786</v>
      </c>
      <c r="D30" s="9">
        <v>4.1507214283656948</v>
      </c>
      <c r="E30" s="9">
        <v>4.1495640275954315</v>
      </c>
      <c r="F30" s="9">
        <v>4.0980075594465006</v>
      </c>
      <c r="G30" s="9">
        <v>3.8572790545250881</v>
      </c>
      <c r="H30" s="9">
        <v>3.8750706330405698</v>
      </c>
      <c r="I30" s="9">
        <v>3.9170506425565228</v>
      </c>
      <c r="J30" s="29">
        <v>3.8850454893848982</v>
      </c>
      <c r="K30" s="9">
        <v>4.0363388557690767</v>
      </c>
      <c r="L30" s="9">
        <v>4.1421276628939809</v>
      </c>
      <c r="M30" s="9">
        <v>4.0352642073474358</v>
      </c>
      <c r="N30" s="9">
        <v>4.2992418750232018</v>
      </c>
      <c r="O30" s="9">
        <v>4.4162564999154803</v>
      </c>
      <c r="P30" s="9">
        <v>4.902893364596542</v>
      </c>
    </row>
    <row r="31" spans="1:16">
      <c r="A31" s="26">
        <v>30</v>
      </c>
      <c r="B31" s="9">
        <v>4.1767846601731184</v>
      </c>
      <c r="C31" s="9">
        <v>4.022296581303789</v>
      </c>
      <c r="D31" s="9">
        <v>3.9783259466457164</v>
      </c>
      <c r="E31" s="9">
        <v>3.7007578125863536</v>
      </c>
      <c r="F31" s="9">
        <v>3.6505118435678918</v>
      </c>
      <c r="G31" s="9">
        <v>3.7889559412397014</v>
      </c>
      <c r="H31" s="9">
        <v>3.6895171321222278</v>
      </c>
      <c r="I31" s="9">
        <v>3.7332401165953621</v>
      </c>
      <c r="J31" s="29">
        <v>3.9017479009406797</v>
      </c>
      <c r="K31" s="9">
        <v>3.8156862455548772</v>
      </c>
      <c r="L31" s="9">
        <v>3.8612184347753877</v>
      </c>
      <c r="M31" s="9">
        <v>4.0471970693287522</v>
      </c>
      <c r="N31" s="9">
        <v>4.0211113223571919</v>
      </c>
      <c r="O31" s="9">
        <v>4.1211292830330342</v>
      </c>
      <c r="P31" s="9">
        <v>3.8212351949937573</v>
      </c>
    </row>
  </sheetData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10.695177375736739</v>
      </c>
      <c r="C2" s="9">
        <v>10.466075993696087</v>
      </c>
      <c r="D2" s="9">
        <v>10.449955083149202</v>
      </c>
      <c r="E2" s="9">
        <v>10.690755191615569</v>
      </c>
      <c r="F2" s="9">
        <v>10.421080410790818</v>
      </c>
      <c r="G2" s="9">
        <v>10.383959122266845</v>
      </c>
      <c r="H2" s="9">
        <v>10.821028952120775</v>
      </c>
      <c r="I2" s="9">
        <v>11.140641653010798</v>
      </c>
      <c r="J2" s="29">
        <v>10.744938059130533</v>
      </c>
      <c r="K2" s="9">
        <v>10.385892995342189</v>
      </c>
      <c r="L2" s="9">
        <v>10.395789178186499</v>
      </c>
      <c r="M2" s="9">
        <v>10.927523841774478</v>
      </c>
      <c r="N2" s="9">
        <v>11.345525962598344</v>
      </c>
      <c r="O2" s="9">
        <v>11.397052203634903</v>
      </c>
      <c r="P2" s="9">
        <v>11.693123057028709</v>
      </c>
    </row>
    <row r="3" spans="1:16">
      <c r="A3" s="26">
        <v>2</v>
      </c>
      <c r="B3" s="9">
        <v>10.346124340120314</v>
      </c>
      <c r="C3" s="9">
        <v>10.398021600615937</v>
      </c>
      <c r="D3" s="9">
        <v>10.539620981112916</v>
      </c>
      <c r="E3" s="9">
        <v>10.745656011755971</v>
      </c>
      <c r="F3" s="9">
        <v>11.29404758471145</v>
      </c>
      <c r="G3" s="9">
        <v>10.662231563551664</v>
      </c>
      <c r="H3" s="9">
        <v>10.822975694910975</v>
      </c>
      <c r="I3" s="9">
        <v>11.010988247156066</v>
      </c>
      <c r="J3" s="29">
        <v>10.834264545870534</v>
      </c>
      <c r="K3" s="9">
        <v>10.544784349666891</v>
      </c>
      <c r="L3" s="9">
        <v>10.715445192873799</v>
      </c>
      <c r="M3" s="9">
        <v>10.767353488585695</v>
      </c>
      <c r="N3" s="9">
        <v>11.191561793610317</v>
      </c>
      <c r="O3" s="9">
        <v>10.934109279516901</v>
      </c>
      <c r="P3" s="9">
        <v>10.843976504893648</v>
      </c>
    </row>
    <row r="4" spans="1:16">
      <c r="A4" s="26">
        <v>3</v>
      </c>
      <c r="B4" s="9">
        <v>10.608869383564411</v>
      </c>
      <c r="C4" s="9">
        <v>10.544353826278604</v>
      </c>
      <c r="D4" s="9">
        <v>10.739845360978457</v>
      </c>
      <c r="E4" s="9">
        <v>10.726815969536146</v>
      </c>
      <c r="F4" s="9">
        <v>10.903335200076581</v>
      </c>
      <c r="G4" s="9">
        <v>10.843501738750851</v>
      </c>
      <c r="H4" s="9">
        <v>10.162247720794088</v>
      </c>
      <c r="I4" s="9">
        <v>10.675124788298101</v>
      </c>
      <c r="J4" s="29">
        <v>10.843638030115363</v>
      </c>
      <c r="K4" s="9">
        <v>10.819724650479463</v>
      </c>
      <c r="L4" s="9">
        <v>10.578407211438837</v>
      </c>
      <c r="M4" s="9">
        <v>10.828900863300721</v>
      </c>
      <c r="N4" s="9">
        <v>10.660054562037073</v>
      </c>
      <c r="O4" s="9">
        <v>10.700908736020173</v>
      </c>
      <c r="P4" s="9">
        <v>10.508671195658556</v>
      </c>
    </row>
    <row r="5" spans="1:16">
      <c r="A5" s="26">
        <v>4</v>
      </c>
      <c r="B5" s="9">
        <v>11.19877907382905</v>
      </c>
      <c r="C5" s="9">
        <v>11.011637078347897</v>
      </c>
      <c r="D5" s="9">
        <v>10.878568257471326</v>
      </c>
      <c r="E5" s="9">
        <v>10.921823614704881</v>
      </c>
      <c r="F5" s="9">
        <v>11.486570644406042</v>
      </c>
      <c r="G5" s="9">
        <v>11.569402383606018</v>
      </c>
      <c r="H5" s="9">
        <v>11.322209524329841</v>
      </c>
      <c r="I5" s="9">
        <v>11.36712034102348</v>
      </c>
      <c r="J5" s="29">
        <v>11.52285903326068</v>
      </c>
      <c r="K5" s="9">
        <v>11.418356596452647</v>
      </c>
      <c r="L5" s="9">
        <v>11.148740817042947</v>
      </c>
      <c r="M5" s="9">
        <v>11.020914963463959</v>
      </c>
      <c r="N5" s="9">
        <v>10.720294774560751</v>
      </c>
      <c r="O5" s="9">
        <v>10.7813392499092</v>
      </c>
      <c r="P5" s="9">
        <v>9.9971301838234137</v>
      </c>
    </row>
    <row r="6" spans="1:16">
      <c r="A6" s="26">
        <v>5</v>
      </c>
      <c r="B6" s="9">
        <v>10.604194718790788</v>
      </c>
      <c r="C6" s="9">
        <v>10.734624144725185</v>
      </c>
      <c r="D6" s="9">
        <v>10.720958654400491</v>
      </c>
      <c r="E6" s="9">
        <v>11.085173208799013</v>
      </c>
      <c r="F6" s="9">
        <v>12.240649535902262</v>
      </c>
      <c r="G6" s="9">
        <v>12.394954847772567</v>
      </c>
      <c r="H6" s="9">
        <v>12.071232553309043</v>
      </c>
      <c r="I6" s="9">
        <v>12.783211888155213</v>
      </c>
      <c r="J6" s="29">
        <v>12.344942722903793</v>
      </c>
      <c r="K6" s="9">
        <v>12.472865931449416</v>
      </c>
      <c r="L6" s="9">
        <v>13.007826268297766</v>
      </c>
      <c r="M6" s="9">
        <v>12.489089708534497</v>
      </c>
      <c r="N6" s="9">
        <v>13.281848566901086</v>
      </c>
      <c r="O6" s="9">
        <v>13.389351544845431</v>
      </c>
      <c r="P6" s="9">
        <v>13.344195692370462</v>
      </c>
    </row>
    <row r="7" spans="1:16">
      <c r="A7" s="26">
        <v>6</v>
      </c>
      <c r="B7" s="9">
        <v>11.124951140972641</v>
      </c>
      <c r="C7" s="9">
        <v>11.499984076756842</v>
      </c>
      <c r="D7" s="9">
        <v>11.828547934863243</v>
      </c>
      <c r="E7" s="9">
        <v>11.804754655677391</v>
      </c>
      <c r="F7" s="9">
        <v>11.869895726901637</v>
      </c>
      <c r="G7" s="9">
        <v>12.439767190079621</v>
      </c>
      <c r="H7" s="9">
        <v>12.414625618350975</v>
      </c>
      <c r="I7" s="9">
        <v>12.621202238188353</v>
      </c>
      <c r="J7" s="29">
        <v>12.186350420934449</v>
      </c>
      <c r="K7" s="9">
        <v>11.971672497549866</v>
      </c>
      <c r="L7" s="9">
        <v>12.346733641003384</v>
      </c>
      <c r="M7" s="9">
        <v>12.050995231573173</v>
      </c>
      <c r="N7" s="9">
        <v>11.806409126921732</v>
      </c>
      <c r="O7" s="9">
        <v>11.887926952128771</v>
      </c>
      <c r="P7" s="9">
        <v>11.788109003151035</v>
      </c>
    </row>
    <row r="8" spans="1:16">
      <c r="A8" s="26">
        <v>7</v>
      </c>
      <c r="B8" s="9">
        <v>10.916620627389085</v>
      </c>
      <c r="C8" s="9">
        <v>10.983663259853392</v>
      </c>
      <c r="D8" s="9">
        <v>11.312317354466554</v>
      </c>
      <c r="E8" s="9">
        <v>11.367129172931497</v>
      </c>
      <c r="F8" s="9">
        <v>11.627902426171795</v>
      </c>
      <c r="G8" s="9">
        <v>12.181579385430933</v>
      </c>
      <c r="H8" s="9">
        <v>12.534011279841465</v>
      </c>
      <c r="I8" s="9">
        <v>12.882924102825392</v>
      </c>
      <c r="J8" s="29">
        <v>13.157267898019546</v>
      </c>
      <c r="K8" s="9">
        <v>13.375414721258025</v>
      </c>
      <c r="L8" s="9">
        <v>12.961065395948058</v>
      </c>
      <c r="M8" s="9">
        <v>12.814833930350536</v>
      </c>
      <c r="N8" s="9">
        <v>13.342085819205556</v>
      </c>
      <c r="O8" s="9">
        <v>14.866337401736912</v>
      </c>
      <c r="P8" s="9">
        <v>14.269302926136955</v>
      </c>
    </row>
    <row r="9" spans="1:16">
      <c r="A9" s="26">
        <v>8</v>
      </c>
      <c r="B9" s="9">
        <v>10.69859978760905</v>
      </c>
      <c r="C9" s="9">
        <v>10.551680471815654</v>
      </c>
      <c r="D9" s="9">
        <v>10.257400227535939</v>
      </c>
      <c r="E9" s="9">
        <v>10.752642269532474</v>
      </c>
      <c r="F9" s="9">
        <v>10.991349553233732</v>
      </c>
      <c r="G9" s="9">
        <v>11.428897079193531</v>
      </c>
      <c r="H9" s="9">
        <v>11.785304995103873</v>
      </c>
      <c r="I9" s="9">
        <v>12.060152160550007</v>
      </c>
      <c r="J9" s="29">
        <v>12.357761454929124</v>
      </c>
      <c r="K9" s="9">
        <v>12.151062846705736</v>
      </c>
      <c r="L9" s="9">
        <v>11.967498125177199</v>
      </c>
      <c r="M9" s="9">
        <v>12.096441976773626</v>
      </c>
      <c r="N9" s="9">
        <v>12.380041988724704</v>
      </c>
      <c r="O9" s="9">
        <v>12.202260125018764</v>
      </c>
      <c r="P9" s="9">
        <v>11.952751794995624</v>
      </c>
    </row>
    <row r="10" spans="1:16">
      <c r="A10" s="26">
        <v>9</v>
      </c>
      <c r="B10" s="9">
        <v>11.568710153800591</v>
      </c>
      <c r="C10" s="9">
        <v>11.189385384676283</v>
      </c>
      <c r="D10" s="9">
        <v>11.179343701219366</v>
      </c>
      <c r="E10" s="9">
        <v>11.284950203875708</v>
      </c>
      <c r="F10" s="9">
        <v>11.66301490308868</v>
      </c>
      <c r="G10" s="9">
        <v>11.603879870369685</v>
      </c>
      <c r="H10" s="9">
        <v>11.39305746999578</v>
      </c>
      <c r="I10" s="9">
        <v>10.894779981980255</v>
      </c>
      <c r="J10" s="29">
        <v>11.266160246951339</v>
      </c>
      <c r="K10" s="9">
        <v>11.852841218882483</v>
      </c>
      <c r="L10" s="9">
        <v>11.690393780286044</v>
      </c>
      <c r="M10" s="9">
        <v>11.945650029525261</v>
      </c>
      <c r="N10" s="9">
        <v>11.835840841150443</v>
      </c>
      <c r="O10" s="9">
        <v>12.099104129412781</v>
      </c>
      <c r="P10" s="9">
        <v>12.783592106422457</v>
      </c>
    </row>
    <row r="11" spans="1:16">
      <c r="A11" s="26">
        <v>10</v>
      </c>
      <c r="B11" s="9">
        <v>10.795453011722557</v>
      </c>
      <c r="C11" s="9">
        <v>11.317402945514674</v>
      </c>
      <c r="D11" s="9">
        <v>11.289152299055905</v>
      </c>
      <c r="E11" s="9">
        <v>11.152918592862216</v>
      </c>
      <c r="F11" s="9">
        <v>11.34585468554841</v>
      </c>
      <c r="G11" s="9">
        <v>11.346194380774387</v>
      </c>
      <c r="H11" s="9">
        <v>11.186535837227355</v>
      </c>
      <c r="I11" s="9">
        <v>10.969501570998817</v>
      </c>
      <c r="J11" s="29">
        <v>10.938009835279846</v>
      </c>
      <c r="K11" s="9">
        <v>11.666170969081154</v>
      </c>
      <c r="L11" s="9">
        <v>11.60503690636652</v>
      </c>
      <c r="M11" s="9">
        <v>11.665919893413315</v>
      </c>
      <c r="N11" s="9">
        <v>12.042784364788613</v>
      </c>
      <c r="O11" s="9">
        <v>11.659152111802177</v>
      </c>
      <c r="P11" s="9">
        <v>11.715426884675338</v>
      </c>
    </row>
    <row r="12" spans="1:16">
      <c r="A12" s="26">
        <v>11</v>
      </c>
      <c r="B12" s="9">
        <v>10.93069152489104</v>
      </c>
      <c r="C12" s="9">
        <v>11.430062377457851</v>
      </c>
      <c r="D12" s="9">
        <v>11.487049401487102</v>
      </c>
      <c r="E12" s="9">
        <v>11.230239203990969</v>
      </c>
      <c r="F12" s="9">
        <v>11.195520234079639</v>
      </c>
      <c r="G12" s="9">
        <v>11.298557156302033</v>
      </c>
      <c r="H12" s="9">
        <v>11.246539961479961</v>
      </c>
      <c r="I12" s="9">
        <v>11.21556307928587</v>
      </c>
      <c r="J12" s="29">
        <v>10.803001231710974</v>
      </c>
      <c r="K12" s="9">
        <v>11.075774559485989</v>
      </c>
      <c r="L12" s="9">
        <v>10.927640343097138</v>
      </c>
      <c r="M12" s="9">
        <v>10.764285236627623</v>
      </c>
      <c r="N12" s="9">
        <v>10.689671700459654</v>
      </c>
      <c r="O12" s="9">
        <v>10.48452955119777</v>
      </c>
      <c r="P12" s="9">
        <v>10.838765941456211</v>
      </c>
    </row>
    <row r="13" spans="1:16">
      <c r="A13" s="26">
        <v>12</v>
      </c>
      <c r="B13" s="9">
        <v>10.856788942432541</v>
      </c>
      <c r="C13" s="9">
        <v>10.651023100092464</v>
      </c>
      <c r="D13" s="9">
        <v>11.383934600092765</v>
      </c>
      <c r="E13" s="9">
        <v>11.396116803508358</v>
      </c>
      <c r="F13" s="9">
        <v>11.577917911949493</v>
      </c>
      <c r="G13" s="9">
        <v>11.115476455340536</v>
      </c>
      <c r="H13" s="9">
        <v>10.886301270914727</v>
      </c>
      <c r="I13" s="9">
        <v>11.171982068153312</v>
      </c>
      <c r="J13" s="29">
        <v>10.93473157612444</v>
      </c>
      <c r="K13" s="9">
        <v>11.179137679202466</v>
      </c>
      <c r="L13" s="9">
        <v>11.540008121904323</v>
      </c>
      <c r="M13" s="9">
        <v>11.920080449134568</v>
      </c>
      <c r="N13" s="9">
        <v>11.95679273067169</v>
      </c>
      <c r="O13" s="9">
        <v>11.903215049271545</v>
      </c>
      <c r="P13" s="9">
        <v>12.423107987845432</v>
      </c>
    </row>
    <row r="14" spans="1:16">
      <c r="A14" s="26">
        <v>13</v>
      </c>
      <c r="B14" s="9">
        <v>11.033731160624193</v>
      </c>
      <c r="C14" s="9">
        <v>11.561442489242205</v>
      </c>
      <c r="D14" s="9">
        <v>11.406725360442559</v>
      </c>
      <c r="E14" s="9">
        <v>11.844865401811152</v>
      </c>
      <c r="F14" s="9">
        <v>12.203057989248874</v>
      </c>
      <c r="G14" s="9">
        <v>11.850520818258845</v>
      </c>
      <c r="H14" s="9">
        <v>11.836136367687294</v>
      </c>
      <c r="I14" s="9">
        <v>12.143190170171447</v>
      </c>
      <c r="J14" s="29">
        <v>12.326868479017628</v>
      </c>
      <c r="K14" s="9">
        <v>11.966447766876106</v>
      </c>
      <c r="L14" s="9">
        <v>11.960487783665769</v>
      </c>
      <c r="M14" s="9">
        <v>12.294803949795012</v>
      </c>
      <c r="N14" s="9">
        <v>12.269166762676676</v>
      </c>
      <c r="O14" s="9">
        <v>12.410456395592259</v>
      </c>
      <c r="P14" s="9">
        <v>12.474714172192384</v>
      </c>
    </row>
    <row r="15" spans="1:16">
      <c r="A15" s="26">
        <v>14</v>
      </c>
      <c r="B15" s="9">
        <v>11.162937944468691</v>
      </c>
      <c r="C15" s="9">
        <v>11.254410351920944</v>
      </c>
      <c r="D15" s="9">
        <v>11.483373322315964</v>
      </c>
      <c r="E15" s="9">
        <v>11.095805337858103</v>
      </c>
      <c r="F15" s="9">
        <v>11.42224020658494</v>
      </c>
      <c r="G15" s="9">
        <v>11.756286308787161</v>
      </c>
      <c r="H15" s="9">
        <v>11.456046374723337</v>
      </c>
      <c r="I15" s="9">
        <v>11.676913459347274</v>
      </c>
      <c r="J15" s="29">
        <v>11.545015265150251</v>
      </c>
      <c r="K15" s="9">
        <v>11.715781022137973</v>
      </c>
      <c r="L15" s="9">
        <v>11.28224342517542</v>
      </c>
      <c r="M15" s="9">
        <v>12.018280741424748</v>
      </c>
      <c r="N15" s="9">
        <v>11.242572976933724</v>
      </c>
      <c r="O15" s="9">
        <v>10.798170135783465</v>
      </c>
      <c r="P15" s="9">
        <v>11.144153337780349</v>
      </c>
    </row>
    <row r="16" spans="1:16">
      <c r="A16" s="26">
        <v>15</v>
      </c>
      <c r="B16" s="9">
        <v>10.638547320714101</v>
      </c>
      <c r="C16" s="9">
        <v>10.968689327188397</v>
      </c>
      <c r="D16" s="9">
        <v>10.876611234377584</v>
      </c>
      <c r="E16" s="9">
        <v>11.024623299407608</v>
      </c>
      <c r="F16" s="9">
        <v>10.607576190238774</v>
      </c>
      <c r="G16" s="9">
        <v>10.863476608424568</v>
      </c>
      <c r="H16" s="9">
        <v>10.811783375661934</v>
      </c>
      <c r="I16" s="9">
        <v>11.224449203919331</v>
      </c>
      <c r="J16" s="29">
        <v>11.646645276433135</v>
      </c>
      <c r="K16" s="9">
        <v>11.983790530381173</v>
      </c>
      <c r="L16" s="9">
        <v>12.197864870028413</v>
      </c>
      <c r="M16" s="9">
        <v>12.847704640232909</v>
      </c>
      <c r="N16" s="9">
        <v>13.096772247327083</v>
      </c>
      <c r="O16" s="9">
        <v>13.676727104648812</v>
      </c>
      <c r="P16" s="9">
        <v>13.525949101091804</v>
      </c>
    </row>
    <row r="17" spans="1:16">
      <c r="A17" s="26">
        <v>16</v>
      </c>
      <c r="B17" s="9">
        <v>11.166263128694478</v>
      </c>
      <c r="C17" s="9">
        <v>11.318869771784172</v>
      </c>
      <c r="D17" s="9">
        <v>11.365917194514612</v>
      </c>
      <c r="E17" s="9">
        <v>11.48835991990007</v>
      </c>
      <c r="F17" s="9">
        <v>11.625477981281968</v>
      </c>
      <c r="G17" s="9">
        <v>11.82122316434247</v>
      </c>
      <c r="H17" s="9">
        <v>11.828322572132178</v>
      </c>
      <c r="I17" s="9">
        <v>11.810116491639199</v>
      </c>
      <c r="J17" s="29">
        <v>11.870082115648644</v>
      </c>
      <c r="K17" s="9">
        <v>12.356247876327496</v>
      </c>
      <c r="L17" s="9">
        <v>12.041474016716213</v>
      </c>
      <c r="M17" s="9">
        <v>11.977970119218332</v>
      </c>
      <c r="N17" s="9">
        <v>12.745867405952415</v>
      </c>
      <c r="O17" s="9">
        <v>12.820890816120828</v>
      </c>
      <c r="P17" s="9">
        <v>12.937611537817464</v>
      </c>
    </row>
    <row r="18" spans="1:16">
      <c r="A18" s="26">
        <v>17</v>
      </c>
      <c r="B18" s="9">
        <v>11.015147728535537</v>
      </c>
      <c r="C18" s="9">
        <v>11.069576322961797</v>
      </c>
      <c r="D18" s="9">
        <v>10.899838958215085</v>
      </c>
      <c r="E18" s="9">
        <v>10.555206571953351</v>
      </c>
      <c r="F18" s="9">
        <v>10.484276857123797</v>
      </c>
      <c r="G18" s="9">
        <v>10.879159297728645</v>
      </c>
      <c r="H18" s="9">
        <v>10.552242222036471</v>
      </c>
      <c r="I18" s="9">
        <v>10.841587878892286</v>
      </c>
      <c r="J18" s="29">
        <v>10.897530005674701</v>
      </c>
      <c r="K18" s="9">
        <v>11.67916985364749</v>
      </c>
      <c r="L18" s="9">
        <v>11.189458446380161</v>
      </c>
      <c r="M18" s="9">
        <v>11.192733385583169</v>
      </c>
      <c r="N18" s="9">
        <v>11.025366765171285</v>
      </c>
      <c r="O18" s="9">
        <v>10.931002871964983</v>
      </c>
      <c r="P18" s="9">
        <v>10.598259885438351</v>
      </c>
    </row>
    <row r="19" spans="1:16">
      <c r="A19" s="26">
        <v>18</v>
      </c>
      <c r="B19" s="9">
        <v>10.930364256603696</v>
      </c>
      <c r="C19" s="9">
        <v>11.004347133202341</v>
      </c>
      <c r="D19" s="9">
        <v>11.167181476846714</v>
      </c>
      <c r="E19" s="9">
        <v>11.548646369170715</v>
      </c>
      <c r="F19" s="9">
        <v>11.59784558549716</v>
      </c>
      <c r="G19" s="9">
        <v>11.967674938227306</v>
      </c>
      <c r="H19" s="9">
        <v>12.411452536724958</v>
      </c>
      <c r="I19" s="9">
        <v>12.230365556625591</v>
      </c>
      <c r="J19" s="29">
        <v>12.177211824909014</v>
      </c>
      <c r="K19" s="9">
        <v>11.572355156024432</v>
      </c>
      <c r="L19" s="9">
        <v>12.183733607563891</v>
      </c>
      <c r="M19" s="9">
        <v>12.631084282520732</v>
      </c>
      <c r="N19" s="9">
        <v>12.804880939378748</v>
      </c>
      <c r="O19" s="9">
        <v>13.022830404335169</v>
      </c>
      <c r="P19" s="9">
        <v>13.362115919915434</v>
      </c>
    </row>
    <row r="20" spans="1:16">
      <c r="A20" s="26">
        <v>19</v>
      </c>
      <c r="B20" s="9">
        <v>11.120440237149879</v>
      </c>
      <c r="C20" s="9">
        <v>10.900095748707672</v>
      </c>
      <c r="D20" s="9">
        <v>10.702114277726968</v>
      </c>
      <c r="E20" s="9">
        <v>10.67831970934413</v>
      </c>
      <c r="F20" s="9">
        <v>10.839007222807401</v>
      </c>
      <c r="G20" s="9">
        <v>11.218393669010842</v>
      </c>
      <c r="H20" s="9">
        <v>11.712009519781102</v>
      </c>
      <c r="I20" s="9">
        <v>12.016490963193043</v>
      </c>
      <c r="J20" s="29">
        <v>12.436940734054547</v>
      </c>
      <c r="K20" s="9">
        <v>12.705542866872205</v>
      </c>
      <c r="L20" s="9">
        <v>13.291277075466519</v>
      </c>
      <c r="M20" s="9">
        <v>13.039450380464592</v>
      </c>
      <c r="N20" s="9">
        <v>13.338677340499348</v>
      </c>
      <c r="O20" s="9">
        <v>12.709452749161924</v>
      </c>
      <c r="P20" s="9">
        <v>12.812145727815565</v>
      </c>
    </row>
    <row r="21" spans="1:16">
      <c r="A21" s="26">
        <v>20</v>
      </c>
      <c r="B21" s="9">
        <v>10.833725035879704</v>
      </c>
      <c r="C21" s="9">
        <v>11.380841428571209</v>
      </c>
      <c r="D21" s="9">
        <v>10.996511380338912</v>
      </c>
      <c r="E21" s="9">
        <v>10.788926566685387</v>
      </c>
      <c r="F21" s="9">
        <v>10.647525953467939</v>
      </c>
      <c r="G21" s="9">
        <v>10.253475800445754</v>
      </c>
      <c r="H21" s="9">
        <v>10.35531569478259</v>
      </c>
      <c r="I21" s="9">
        <v>10.392760560385195</v>
      </c>
      <c r="J21" s="29">
        <v>9.9748909164253234</v>
      </c>
      <c r="K21" s="9">
        <v>9.7834101847569919</v>
      </c>
      <c r="L21" s="9">
        <v>10.035038042101949</v>
      </c>
      <c r="M21" s="9">
        <v>9.9006398516387097</v>
      </c>
      <c r="N21" s="9">
        <v>9.8970056604081815</v>
      </c>
      <c r="O21" s="9">
        <v>9.9910201753848327</v>
      </c>
      <c r="P21" s="9">
        <v>10.215048776261122</v>
      </c>
    </row>
    <row r="22" spans="1:16">
      <c r="A22" s="26">
        <v>21</v>
      </c>
      <c r="B22" s="9">
        <v>9.9244394070097233</v>
      </c>
      <c r="C22" s="9">
        <v>10.057104395763421</v>
      </c>
      <c r="D22" s="9">
        <v>10.638104442844476</v>
      </c>
      <c r="E22" s="9">
        <v>10.895525730570728</v>
      </c>
      <c r="F22" s="9">
        <v>10.873459489539096</v>
      </c>
      <c r="G22" s="9">
        <v>11.20221828855877</v>
      </c>
      <c r="H22" s="9">
        <v>11.235442796914054</v>
      </c>
      <c r="I22" s="9">
        <v>11.346801286403341</v>
      </c>
      <c r="J22" s="29">
        <v>11.521331407698144</v>
      </c>
      <c r="K22" s="9">
        <v>11.402707839302513</v>
      </c>
      <c r="L22" s="9">
        <v>11.144619803797022</v>
      </c>
      <c r="M22" s="9">
        <v>11.006230631659035</v>
      </c>
      <c r="N22" s="9">
        <v>11.044407596183033</v>
      </c>
      <c r="O22" s="9">
        <v>10.944110781735235</v>
      </c>
      <c r="P22" s="9">
        <v>11.341548071027329</v>
      </c>
    </row>
    <row r="23" spans="1:16">
      <c r="A23" s="26">
        <v>22</v>
      </c>
      <c r="B23" s="9">
        <v>10.851515394284403</v>
      </c>
      <c r="C23" s="9">
        <v>10.531005841381077</v>
      </c>
      <c r="D23" s="9">
        <v>10.22798553702567</v>
      </c>
      <c r="E23" s="9">
        <v>10.377423414297683</v>
      </c>
      <c r="F23" s="9">
        <v>10.414477575313406</v>
      </c>
      <c r="G23" s="9">
        <v>10.856368791823243</v>
      </c>
      <c r="H23" s="9">
        <v>11.044259373728881</v>
      </c>
      <c r="I23" s="9">
        <v>10.781317665314855</v>
      </c>
      <c r="J23" s="29">
        <v>11.102771737932089</v>
      </c>
      <c r="K23" s="9">
        <v>11.888680158822735</v>
      </c>
      <c r="L23" s="9">
        <v>12.158153983217309</v>
      </c>
      <c r="M23" s="9">
        <v>11.766276843529761</v>
      </c>
      <c r="N23" s="9">
        <v>11.806725387572637</v>
      </c>
      <c r="O23" s="9">
        <v>11.856169103049771</v>
      </c>
      <c r="P23" s="9">
        <v>12.149418228472422</v>
      </c>
    </row>
    <row r="24" spans="1:16">
      <c r="A24" s="26">
        <v>23</v>
      </c>
      <c r="B24" s="9">
        <v>11.384237097515715</v>
      </c>
      <c r="C24" s="9">
        <v>11.820019730561265</v>
      </c>
      <c r="D24" s="9">
        <v>12.339489103142391</v>
      </c>
      <c r="E24" s="9">
        <v>12.901125423066159</v>
      </c>
      <c r="F24" s="9">
        <v>12.84831196979167</v>
      </c>
      <c r="G24" s="9">
        <v>12.62549314756995</v>
      </c>
      <c r="H24" s="9">
        <v>12.136513187036368</v>
      </c>
      <c r="I24" s="9">
        <v>12.256992972954013</v>
      </c>
      <c r="J24" s="29">
        <v>11.881490380592041</v>
      </c>
      <c r="K24" s="9">
        <v>11.96550223873524</v>
      </c>
      <c r="L24" s="9">
        <v>12.024315940884085</v>
      </c>
      <c r="M24" s="9">
        <v>12.27860830886805</v>
      </c>
      <c r="N24" s="9">
        <v>12.484085370559486</v>
      </c>
      <c r="O24" s="9">
        <v>12.485827977585815</v>
      </c>
      <c r="P24" s="9">
        <v>12.960639802586062</v>
      </c>
    </row>
    <row r="25" spans="1:16">
      <c r="A25" s="26">
        <v>24</v>
      </c>
      <c r="B25" s="9">
        <v>10.473757266355941</v>
      </c>
      <c r="C25" s="9">
        <v>10.746718100847355</v>
      </c>
      <c r="D25" s="9">
        <v>11.021998709297284</v>
      </c>
      <c r="E25" s="9">
        <v>10.82247410123691</v>
      </c>
      <c r="F25" s="9">
        <v>10.667537091519089</v>
      </c>
      <c r="G25" s="9">
        <v>10.765413627735645</v>
      </c>
      <c r="H25" s="9">
        <v>11.165906918568744</v>
      </c>
      <c r="I25" s="9">
        <v>11.468608812201722</v>
      </c>
      <c r="J25" s="29">
        <v>11.845115578972932</v>
      </c>
      <c r="K25" s="9">
        <v>12.291527022681604</v>
      </c>
      <c r="L25" s="9">
        <v>12.445649649018073</v>
      </c>
      <c r="M25" s="9">
        <v>12.436909616082408</v>
      </c>
      <c r="N25" s="9">
        <v>12.477609609044073</v>
      </c>
      <c r="O25" s="9">
        <v>11.969372599999245</v>
      </c>
      <c r="P25" s="9">
        <v>11.559988599470996</v>
      </c>
    </row>
    <row r="26" spans="1:16">
      <c r="A26" s="26">
        <v>25</v>
      </c>
      <c r="B26" s="9">
        <v>10.329607145917759</v>
      </c>
      <c r="C26" s="9">
        <v>10.41261938683415</v>
      </c>
      <c r="D26" s="9">
        <v>10.471266495455557</v>
      </c>
      <c r="E26" s="9">
        <v>10.225610826123551</v>
      </c>
      <c r="F26" s="9">
        <v>10.043726757700842</v>
      </c>
      <c r="G26" s="9">
        <v>10.731898703768795</v>
      </c>
      <c r="H26" s="9">
        <v>10.93062234270038</v>
      </c>
      <c r="I26" s="9">
        <v>11.258657061474523</v>
      </c>
      <c r="J26" s="29">
        <v>10.756085685044509</v>
      </c>
      <c r="K26" s="9">
        <v>10.483614341370513</v>
      </c>
      <c r="L26" s="9">
        <v>10.396092206524385</v>
      </c>
      <c r="M26" s="9">
        <v>10.597429742111464</v>
      </c>
      <c r="N26" s="9">
        <v>10.298544874427794</v>
      </c>
      <c r="O26" s="9">
        <v>9.9150684133946587</v>
      </c>
      <c r="P26" s="9">
        <v>9.4796140810998377</v>
      </c>
    </row>
    <row r="27" spans="1:16">
      <c r="A27" s="26">
        <v>26</v>
      </c>
      <c r="B27" s="9">
        <v>10.716409824751203</v>
      </c>
      <c r="C27" s="9">
        <v>10.669778106582157</v>
      </c>
      <c r="D27" s="9">
        <v>11.052112801370729</v>
      </c>
      <c r="E27" s="9">
        <v>11.09525368468527</v>
      </c>
      <c r="F27" s="9">
        <v>10.629069475965448</v>
      </c>
      <c r="G27" s="9">
        <v>10.786396988497881</v>
      </c>
      <c r="H27" s="9">
        <v>11.132495271641012</v>
      </c>
      <c r="I27" s="9">
        <v>10.829279772810676</v>
      </c>
      <c r="J27" s="29">
        <v>10.942735302816274</v>
      </c>
      <c r="K27" s="9">
        <v>11.386613526608809</v>
      </c>
      <c r="L27" s="9">
        <v>11.476438441713519</v>
      </c>
      <c r="M27" s="9">
        <v>11.255693167866006</v>
      </c>
      <c r="N27" s="9">
        <v>11.277464491679922</v>
      </c>
      <c r="O27" s="9">
        <v>11.668476465110027</v>
      </c>
      <c r="P27" s="9">
        <v>12.615174849706051</v>
      </c>
    </row>
    <row r="28" spans="1:16">
      <c r="A28" s="26">
        <v>27</v>
      </c>
      <c r="B28" s="9">
        <v>10.934003918582441</v>
      </c>
      <c r="C28" s="9">
        <v>10.774946423782657</v>
      </c>
      <c r="D28" s="9">
        <v>11.05534745784173</v>
      </c>
      <c r="E28" s="9">
        <v>11.188419848555389</v>
      </c>
      <c r="F28" s="9">
        <v>10.604089372510238</v>
      </c>
      <c r="G28" s="9">
        <v>10.699320212272607</v>
      </c>
      <c r="H28" s="9">
        <v>10.637129610176341</v>
      </c>
      <c r="I28" s="9">
        <v>10.890405755804002</v>
      </c>
      <c r="J28" s="29">
        <v>10.779460208595582</v>
      </c>
      <c r="K28" s="9">
        <v>11.012935638179322</v>
      </c>
      <c r="L28" s="9">
        <v>11.082774441469152</v>
      </c>
      <c r="M28" s="9">
        <v>11.071238815969553</v>
      </c>
      <c r="N28" s="9">
        <v>11.013071070405909</v>
      </c>
      <c r="O28" s="9">
        <v>11.164871403576489</v>
      </c>
      <c r="P28" s="9">
        <v>11.008732400473535</v>
      </c>
    </row>
    <row r="29" spans="1:16">
      <c r="A29" s="26">
        <v>28</v>
      </c>
      <c r="B29" s="9">
        <v>10.816081677869771</v>
      </c>
      <c r="C29" s="9">
        <v>10.915459378776678</v>
      </c>
      <c r="D29" s="9">
        <v>10.357315043452067</v>
      </c>
      <c r="E29" s="9">
        <v>10.647932398431422</v>
      </c>
      <c r="F29" s="9">
        <v>10.713529689569636</v>
      </c>
      <c r="G29" s="9">
        <v>10.475452351292942</v>
      </c>
      <c r="H29" s="9">
        <v>10.894424832214359</v>
      </c>
      <c r="I29" s="9">
        <v>10.687409245490947</v>
      </c>
      <c r="J29" s="29">
        <v>10.31600511354157</v>
      </c>
      <c r="K29" s="9">
        <v>10.578713405523001</v>
      </c>
      <c r="L29" s="9">
        <v>10.644660592602726</v>
      </c>
      <c r="M29" s="9">
        <v>10.786583648391673</v>
      </c>
      <c r="N29" s="9">
        <v>11.088841093964415</v>
      </c>
      <c r="O29" s="9">
        <v>11.366977082515694</v>
      </c>
      <c r="P29" s="9">
        <v>10.928410282144078</v>
      </c>
    </row>
    <row r="30" spans="1:16">
      <c r="A30" s="26">
        <v>29</v>
      </c>
      <c r="B30" s="9">
        <v>10.406104414041163</v>
      </c>
      <c r="C30" s="9">
        <v>10.97390085254853</v>
      </c>
      <c r="D30" s="9">
        <v>11.081991357590312</v>
      </c>
      <c r="E30" s="9">
        <v>11.332780318946254</v>
      </c>
      <c r="F30" s="9">
        <v>11.837531855188452</v>
      </c>
      <c r="G30" s="9">
        <v>11.88451121932888</v>
      </c>
      <c r="H30" s="9">
        <v>11.672750280687488</v>
      </c>
      <c r="I30" s="9">
        <v>11.176007493509408</v>
      </c>
      <c r="J30" s="29">
        <v>10.955030815798088</v>
      </c>
      <c r="K30" s="9">
        <v>10.821330833663518</v>
      </c>
      <c r="L30" s="9">
        <v>11.288035733334874</v>
      </c>
      <c r="M30" s="9">
        <v>11.363037791285617</v>
      </c>
      <c r="N30" s="9">
        <v>11.190676967683533</v>
      </c>
      <c r="O30" s="9">
        <v>11.002262613488051</v>
      </c>
      <c r="P30" s="9">
        <v>10.801739536919717</v>
      </c>
    </row>
    <row r="31" spans="1:16">
      <c r="A31" s="26">
        <v>30</v>
      </c>
      <c r="B31" s="9">
        <v>10.893813832361877</v>
      </c>
      <c r="C31" s="9">
        <v>10.455560039438556</v>
      </c>
      <c r="D31" s="9">
        <v>10.526972140327199</v>
      </c>
      <c r="E31" s="9">
        <v>10.776786724268421</v>
      </c>
      <c r="F31" s="9">
        <v>10.782850393982869</v>
      </c>
      <c r="G31" s="9">
        <v>10.882290540946016</v>
      </c>
      <c r="H31" s="9">
        <v>11.245939382882074</v>
      </c>
      <c r="I31" s="9">
        <v>11.266188602895049</v>
      </c>
      <c r="J31" s="29">
        <v>11.742731817613029</v>
      </c>
      <c r="K31" s="9">
        <v>11.687326945544728</v>
      </c>
      <c r="L31" s="9">
        <v>12.349596896954651</v>
      </c>
      <c r="M31" s="9">
        <v>12.558386528401936</v>
      </c>
      <c r="N31" s="9">
        <v>12.128200469204938</v>
      </c>
      <c r="O31" s="9">
        <v>12.377542530075003</v>
      </c>
      <c r="P31" s="9">
        <v>12.417092664081844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8.3886789913100515</v>
      </c>
      <c r="C2" s="9">
        <v>8.5024114211012964</v>
      </c>
      <c r="D2" s="9">
        <v>8.5636583406570921</v>
      </c>
      <c r="E2" s="9">
        <v>9.0266877514711812</v>
      </c>
      <c r="F2" s="9">
        <v>8.96461387461577</v>
      </c>
      <c r="G2" s="9">
        <v>9.35362071832248</v>
      </c>
      <c r="H2" s="9">
        <v>9.9234183624034635</v>
      </c>
      <c r="I2" s="9">
        <v>10.855964229581152</v>
      </c>
      <c r="J2" s="29">
        <v>10.58822192897637</v>
      </c>
      <c r="K2" s="9">
        <v>9.9538065009547516</v>
      </c>
      <c r="L2" s="9">
        <v>10.241932754797494</v>
      </c>
      <c r="M2" s="9">
        <v>10.134401339572461</v>
      </c>
      <c r="N2" s="9">
        <v>10.542912428911311</v>
      </c>
      <c r="O2" s="9">
        <v>10.476679898386319</v>
      </c>
      <c r="P2" s="9">
        <v>10.21470477867299</v>
      </c>
    </row>
    <row r="3" spans="1:16">
      <c r="A3" s="26">
        <v>2</v>
      </c>
      <c r="B3" s="9">
        <v>7.8201641847375614</v>
      </c>
      <c r="C3" s="9">
        <v>7.8471157996681677</v>
      </c>
      <c r="D3" s="9">
        <v>8.1660671059350545</v>
      </c>
      <c r="E3" s="9">
        <v>8.5076617488455391</v>
      </c>
      <c r="F3" s="9">
        <v>7.8765693424346068</v>
      </c>
      <c r="G3" s="9">
        <v>7.8279795576562057</v>
      </c>
      <c r="H3" s="9">
        <v>7.8961568619893576</v>
      </c>
      <c r="I3" s="9">
        <v>8.5819823365587897</v>
      </c>
      <c r="J3" s="29">
        <v>8.7876123632375496</v>
      </c>
      <c r="K3" s="9">
        <v>9.6447519867615803</v>
      </c>
      <c r="L3" s="9">
        <v>9.7608941851167152</v>
      </c>
      <c r="M3" s="9">
        <v>10.266335467046456</v>
      </c>
      <c r="N3" s="9">
        <v>10.458858565239733</v>
      </c>
      <c r="O3" s="9">
        <v>10.734541018849827</v>
      </c>
      <c r="P3" s="9">
        <v>10.385118223818964</v>
      </c>
    </row>
    <row r="4" spans="1:16">
      <c r="A4" s="26">
        <v>3</v>
      </c>
      <c r="B4" s="9">
        <v>8.9170212369639117</v>
      </c>
      <c r="C4" s="9">
        <v>8.8311684347706478</v>
      </c>
      <c r="D4" s="9">
        <v>8.5768414658151304</v>
      </c>
      <c r="E4" s="9">
        <v>8.1678019007374711</v>
      </c>
      <c r="F4" s="9">
        <v>8.5126979295609768</v>
      </c>
      <c r="G4" s="9">
        <v>8.7515780567156831</v>
      </c>
      <c r="H4" s="9">
        <v>8.6198641848235837</v>
      </c>
      <c r="I4" s="9">
        <v>8.5428468225252896</v>
      </c>
      <c r="J4" s="29">
        <v>8.3519497585314557</v>
      </c>
      <c r="K4" s="9">
        <v>8.2383386568843644</v>
      </c>
      <c r="L4" s="9">
        <v>8.537242093595605</v>
      </c>
      <c r="M4" s="9">
        <v>8.7401357803335298</v>
      </c>
      <c r="N4" s="9">
        <v>8.4117160705200522</v>
      </c>
      <c r="O4" s="9">
        <v>8.7853229842452301</v>
      </c>
      <c r="P4" s="9">
        <v>9.3670137034856058</v>
      </c>
    </row>
    <row r="5" spans="1:16">
      <c r="A5" s="26">
        <v>4</v>
      </c>
      <c r="B5" s="9">
        <v>8.5003327249409839</v>
      </c>
      <c r="C5" s="9">
        <v>8.5618374956965102</v>
      </c>
      <c r="D5" s="9">
        <v>8.8564429583974036</v>
      </c>
      <c r="E5" s="9">
        <v>8.9878248091733433</v>
      </c>
      <c r="F5" s="9">
        <v>9.183633168980835</v>
      </c>
      <c r="G5" s="9">
        <v>8.9150901020359541</v>
      </c>
      <c r="H5" s="9">
        <v>9.0418743085268094</v>
      </c>
      <c r="I5" s="9">
        <v>9.142136930364348</v>
      </c>
      <c r="J5" s="29">
        <v>8.8243833966118057</v>
      </c>
      <c r="K5" s="9">
        <v>8.6434928324301303</v>
      </c>
      <c r="L5" s="9">
        <v>8.5647716661246562</v>
      </c>
      <c r="M5" s="9">
        <v>8.5636815097474415</v>
      </c>
      <c r="N5" s="9">
        <v>8.3635075696657406</v>
      </c>
      <c r="O5" s="9">
        <v>8.4562977876821268</v>
      </c>
      <c r="P5" s="9">
        <v>8.2327859913186998</v>
      </c>
    </row>
    <row r="6" spans="1:16">
      <c r="A6" s="26">
        <v>5</v>
      </c>
      <c r="B6" s="9">
        <v>8.1395764663933683</v>
      </c>
      <c r="C6" s="9">
        <v>8.0818912436151145</v>
      </c>
      <c r="D6" s="9">
        <v>8.2214787469662642</v>
      </c>
      <c r="E6" s="9">
        <v>8.6482218477186947</v>
      </c>
      <c r="F6" s="9">
        <v>9.3590463010120732</v>
      </c>
      <c r="G6" s="9">
        <v>8.9226801710559425</v>
      </c>
      <c r="H6" s="9">
        <v>9.1164201877594753</v>
      </c>
      <c r="I6" s="9">
        <v>9.2301698265741106</v>
      </c>
      <c r="J6" s="29">
        <v>9.2334512213228095</v>
      </c>
      <c r="K6" s="9">
        <v>9.1556904786519624</v>
      </c>
      <c r="L6" s="9">
        <v>9.3888865049964529</v>
      </c>
      <c r="M6" s="9">
        <v>9.2693287637864081</v>
      </c>
      <c r="N6" s="9">
        <v>9.8620478111789396</v>
      </c>
      <c r="O6" s="9">
        <v>10.140980692634299</v>
      </c>
      <c r="P6" s="9">
        <v>9.9818417770384418</v>
      </c>
    </row>
    <row r="7" spans="1:16">
      <c r="A7" s="26">
        <v>6</v>
      </c>
      <c r="B7" s="9">
        <v>8.7999102968616345</v>
      </c>
      <c r="C7" s="9">
        <v>8.9688410246374737</v>
      </c>
      <c r="D7" s="9">
        <v>8.6650221970651859</v>
      </c>
      <c r="E7" s="9">
        <v>8.6386155671017164</v>
      </c>
      <c r="F7" s="9">
        <v>8.7129845749557653</v>
      </c>
      <c r="G7" s="9">
        <v>8.7545424581071849</v>
      </c>
      <c r="H7" s="9">
        <v>8.8048231824129299</v>
      </c>
      <c r="I7" s="9">
        <v>8.9172198068846029</v>
      </c>
      <c r="J7" s="29">
        <v>8.8359722098644262</v>
      </c>
      <c r="K7" s="9">
        <v>8.5828599112060431</v>
      </c>
      <c r="L7" s="9">
        <v>8.5876532674044324</v>
      </c>
      <c r="M7" s="9">
        <v>8.3151343875654753</v>
      </c>
      <c r="N7" s="9">
        <v>8.5811974246258149</v>
      </c>
      <c r="O7" s="9">
        <v>8.3443862037889076</v>
      </c>
      <c r="P7" s="9">
        <v>8.2094220652716032</v>
      </c>
    </row>
    <row r="8" spans="1:16">
      <c r="A8" s="26">
        <v>7</v>
      </c>
      <c r="B8" s="9">
        <v>8.6497869791591384</v>
      </c>
      <c r="C8" s="9">
        <v>8.7394560202203007</v>
      </c>
      <c r="D8" s="9">
        <v>8.809108666575197</v>
      </c>
      <c r="E8" s="9">
        <v>9.239127474056346</v>
      </c>
      <c r="F8" s="9">
        <v>9.3740692594003665</v>
      </c>
      <c r="G8" s="9">
        <v>8.9396272064506448</v>
      </c>
      <c r="H8" s="9">
        <v>8.0982519033700662</v>
      </c>
      <c r="I8" s="9">
        <v>8.2371795861403694</v>
      </c>
      <c r="J8" s="29">
        <v>8.1527003772521933</v>
      </c>
      <c r="K8" s="9">
        <v>8.1334163340461263</v>
      </c>
      <c r="L8" s="9">
        <v>7.5615031940816761</v>
      </c>
      <c r="M8" s="9">
        <v>7.550379349879246</v>
      </c>
      <c r="N8" s="9">
        <v>7.7079524452814674</v>
      </c>
      <c r="O8" s="9">
        <v>7.4046481119960896</v>
      </c>
      <c r="P8" s="9">
        <v>7.5784666549601329</v>
      </c>
    </row>
    <row r="9" spans="1:16">
      <c r="A9" s="26">
        <v>8</v>
      </c>
      <c r="B9" s="9">
        <v>8.8403069201164861</v>
      </c>
      <c r="C9" s="9">
        <v>8.4862476342703843</v>
      </c>
      <c r="D9" s="9">
        <v>9.1198976192328924</v>
      </c>
      <c r="E9" s="9">
        <v>9.4524625896412022</v>
      </c>
      <c r="F9" s="9">
        <v>9.5502881473386356</v>
      </c>
      <c r="G9" s="9">
        <v>9.3667270735146673</v>
      </c>
      <c r="H9" s="9">
        <v>9.9489120051300919</v>
      </c>
      <c r="I9" s="9">
        <v>10.291655622904518</v>
      </c>
      <c r="J9" s="29">
        <v>10.572928731710567</v>
      </c>
      <c r="K9" s="9">
        <v>9.8866446587465688</v>
      </c>
      <c r="L9" s="9">
        <v>9.7385267801139452</v>
      </c>
      <c r="M9" s="9">
        <v>9.9494116901157792</v>
      </c>
      <c r="N9" s="9">
        <v>9.7282373172773635</v>
      </c>
      <c r="O9" s="9">
        <v>10.098929855546555</v>
      </c>
      <c r="P9" s="9">
        <v>10.472924592916019</v>
      </c>
    </row>
    <row r="10" spans="1:16">
      <c r="A10" s="26">
        <v>9</v>
      </c>
      <c r="B10" s="9">
        <v>8.7976978479521666</v>
      </c>
      <c r="C10" s="9">
        <v>8.6126169010963505</v>
      </c>
      <c r="D10" s="9">
        <v>8.789057346385766</v>
      </c>
      <c r="E10" s="9">
        <v>9.2803267527086604</v>
      </c>
      <c r="F10" s="9">
        <v>9.9621021163134937</v>
      </c>
      <c r="G10" s="9">
        <v>10.127028460040945</v>
      </c>
      <c r="H10" s="9">
        <v>10.330012116837986</v>
      </c>
      <c r="I10" s="9">
        <v>10.008004895751863</v>
      </c>
      <c r="J10" s="29">
        <v>9.8276166068373971</v>
      </c>
      <c r="K10" s="9">
        <v>10.552475802616719</v>
      </c>
      <c r="L10" s="9">
        <v>10.310574348009176</v>
      </c>
      <c r="M10" s="9">
        <v>10.388252811091476</v>
      </c>
      <c r="N10" s="9">
        <v>10.266550201155804</v>
      </c>
      <c r="O10" s="9">
        <v>9.7655639645051231</v>
      </c>
      <c r="P10" s="9">
        <v>9.5872200907413596</v>
      </c>
    </row>
    <row r="11" spans="1:16">
      <c r="A11" s="26">
        <v>10</v>
      </c>
      <c r="B11" s="9">
        <v>9.0460060431840823</v>
      </c>
      <c r="C11" s="9">
        <v>8.9800556274446777</v>
      </c>
      <c r="D11" s="9">
        <v>9.0874744546309802</v>
      </c>
      <c r="E11" s="9">
        <v>9.5322278173218393</v>
      </c>
      <c r="F11" s="9">
        <v>10.041329693648661</v>
      </c>
      <c r="G11" s="9">
        <v>10.430458643802792</v>
      </c>
      <c r="H11" s="9">
        <v>11.010488203208897</v>
      </c>
      <c r="I11" s="9">
        <v>10.949147160415405</v>
      </c>
      <c r="J11" s="29">
        <v>11.03444273891745</v>
      </c>
      <c r="K11" s="9">
        <v>11.667350992082477</v>
      </c>
      <c r="L11" s="9">
        <v>10.978464605621831</v>
      </c>
      <c r="M11" s="9">
        <v>10.692254246298779</v>
      </c>
      <c r="N11" s="9">
        <v>10.756128319559979</v>
      </c>
      <c r="O11" s="9">
        <v>10.504020595697666</v>
      </c>
      <c r="P11" s="9">
        <v>10.410066901547253</v>
      </c>
    </row>
    <row r="12" spans="1:16">
      <c r="A12" s="26">
        <v>11</v>
      </c>
      <c r="B12" s="9">
        <v>8.2812111201924417</v>
      </c>
      <c r="C12" s="9">
        <v>8.4003360924162411</v>
      </c>
      <c r="D12" s="9">
        <v>9.0844872285220006</v>
      </c>
      <c r="E12" s="9">
        <v>8.9067964509173834</v>
      </c>
      <c r="F12" s="9">
        <v>9.3764872507353143</v>
      </c>
      <c r="G12" s="9">
        <v>9.5729319602986873</v>
      </c>
      <c r="H12" s="9">
        <v>9.0456710091837724</v>
      </c>
      <c r="I12" s="9">
        <v>9.2713463616484493</v>
      </c>
      <c r="J12" s="29">
        <v>8.9962510112183516</v>
      </c>
      <c r="K12" s="9">
        <v>8.4233692778974554</v>
      </c>
      <c r="L12" s="9">
        <v>7.6640714985392577</v>
      </c>
      <c r="M12" s="9">
        <v>7.7629597675578301</v>
      </c>
      <c r="N12" s="9">
        <v>8.0185447872646431</v>
      </c>
      <c r="O12" s="9">
        <v>7.5734802049790151</v>
      </c>
      <c r="P12" s="9">
        <v>7.7904515912717844</v>
      </c>
    </row>
    <row r="13" spans="1:16">
      <c r="A13" s="26">
        <v>12</v>
      </c>
      <c r="B13" s="9">
        <v>7.8376273123185252</v>
      </c>
      <c r="C13" s="9">
        <v>7.9091992771095434</v>
      </c>
      <c r="D13" s="9">
        <v>8.1871242029725781</v>
      </c>
      <c r="E13" s="9">
        <v>8.3416146193418825</v>
      </c>
      <c r="F13" s="9">
        <v>8.8818508701105436</v>
      </c>
      <c r="G13" s="9">
        <v>8.733340553873342</v>
      </c>
      <c r="H13" s="9">
        <v>8.6535242757089463</v>
      </c>
      <c r="I13" s="9">
        <v>8.5132011954868698</v>
      </c>
      <c r="J13" s="29">
        <v>8.4780464432107987</v>
      </c>
      <c r="K13" s="9">
        <v>8.219558856587895</v>
      </c>
      <c r="L13" s="9">
        <v>8.1724656432984091</v>
      </c>
      <c r="M13" s="9">
        <v>8.3408081473972295</v>
      </c>
      <c r="N13" s="9">
        <v>7.9230157707084867</v>
      </c>
      <c r="O13" s="9">
        <v>7.6744100230096493</v>
      </c>
      <c r="P13" s="9">
        <v>7.4167381245050574</v>
      </c>
    </row>
    <row r="14" spans="1:16">
      <c r="A14" s="26">
        <v>13</v>
      </c>
      <c r="B14" s="9">
        <v>8.1389953176172867</v>
      </c>
      <c r="C14" s="9">
        <v>8.2174453422012927</v>
      </c>
      <c r="D14" s="9">
        <v>7.7188666039336775</v>
      </c>
      <c r="E14" s="9">
        <v>7.7644544178951991</v>
      </c>
      <c r="F14" s="9">
        <v>7.7047454464856813</v>
      </c>
      <c r="G14" s="9">
        <v>7.7693379935152462</v>
      </c>
      <c r="H14" s="9">
        <v>8.1153895190793079</v>
      </c>
      <c r="I14" s="9">
        <v>8.3035221019637149</v>
      </c>
      <c r="J14" s="29">
        <v>8.7471529510482746</v>
      </c>
      <c r="K14" s="9">
        <v>9.2182284875815093</v>
      </c>
      <c r="L14" s="9">
        <v>8.8031969739837646</v>
      </c>
      <c r="M14" s="9">
        <v>8.8483282944705817</v>
      </c>
      <c r="N14" s="9">
        <v>9.0341360878350603</v>
      </c>
      <c r="O14" s="9">
        <v>9.3080133125364437</v>
      </c>
      <c r="P14" s="9">
        <v>10.045310641834284</v>
      </c>
    </row>
    <row r="15" spans="1:16">
      <c r="A15" s="26">
        <v>14</v>
      </c>
      <c r="B15" s="9">
        <v>8.8166345667611932</v>
      </c>
      <c r="C15" s="9">
        <v>9.3935152776154247</v>
      </c>
      <c r="D15" s="9">
        <v>9.0624893100547457</v>
      </c>
      <c r="E15" s="9">
        <v>9.3962250057333261</v>
      </c>
      <c r="F15" s="9">
        <v>9.2146629659969719</v>
      </c>
      <c r="G15" s="9">
        <v>9.1233660228748388</v>
      </c>
      <c r="H15" s="9">
        <v>8.7543519148951017</v>
      </c>
      <c r="I15" s="9">
        <v>9.338990871653202</v>
      </c>
      <c r="J15" s="29">
        <v>9.8172640173796673</v>
      </c>
      <c r="K15" s="9">
        <v>9.5828599248015802</v>
      </c>
      <c r="L15" s="9">
        <v>9.4663357876703298</v>
      </c>
      <c r="M15" s="9">
        <v>9.6988019713041993</v>
      </c>
      <c r="N15" s="9">
        <v>9.551579734847877</v>
      </c>
      <c r="O15" s="9">
        <v>9.2554722909145397</v>
      </c>
      <c r="P15" s="9">
        <v>9.0238678698866348</v>
      </c>
    </row>
    <row r="16" spans="1:16">
      <c r="A16" s="26">
        <v>15</v>
      </c>
      <c r="B16" s="9">
        <v>9.0301104561266445</v>
      </c>
      <c r="C16" s="9">
        <v>9.3294076893725535</v>
      </c>
      <c r="D16" s="9">
        <v>9.2794456219839958</v>
      </c>
      <c r="E16" s="9">
        <v>9.2911904861837851</v>
      </c>
      <c r="F16" s="9">
        <v>8.9890910166390796</v>
      </c>
      <c r="G16" s="9">
        <v>8.9398842433243821</v>
      </c>
      <c r="H16" s="9">
        <v>8.8147049030887725</v>
      </c>
      <c r="I16" s="9">
        <v>8.3369829812821674</v>
      </c>
      <c r="J16" s="29">
        <v>8.6384134457271191</v>
      </c>
      <c r="K16" s="9">
        <v>9.277866827687868</v>
      </c>
      <c r="L16" s="9">
        <v>9.6306509741303028</v>
      </c>
      <c r="M16" s="9">
        <v>9.2696665869682988</v>
      </c>
      <c r="N16" s="9">
        <v>9.1524952327710594</v>
      </c>
      <c r="O16" s="9">
        <v>9.2991514509431514</v>
      </c>
      <c r="P16" s="9">
        <v>9.4271670576734401</v>
      </c>
    </row>
    <row r="17" spans="1:16">
      <c r="A17" s="26">
        <v>16</v>
      </c>
      <c r="B17" s="9">
        <v>8.8332725379387895</v>
      </c>
      <c r="C17" s="9">
        <v>9.1120722934015195</v>
      </c>
      <c r="D17" s="9">
        <v>9.0330768101994412</v>
      </c>
      <c r="E17" s="9">
        <v>8.9394249180549874</v>
      </c>
      <c r="F17" s="9">
        <v>8.6958249728265837</v>
      </c>
      <c r="G17" s="9">
        <v>8.5187901181902514</v>
      </c>
      <c r="H17" s="9">
        <v>8.2167460312309917</v>
      </c>
      <c r="I17" s="9">
        <v>8.2459545173868527</v>
      </c>
      <c r="J17" s="29">
        <v>8.6484030373746812</v>
      </c>
      <c r="K17" s="9">
        <v>7.9904932617647138</v>
      </c>
      <c r="L17" s="9">
        <v>7.8286648002904986</v>
      </c>
      <c r="M17" s="9">
        <v>7.6584532911594208</v>
      </c>
      <c r="N17" s="9">
        <v>8.0529683736913373</v>
      </c>
      <c r="O17" s="9">
        <v>8.128398355708276</v>
      </c>
      <c r="P17" s="9">
        <v>8.1929512099810591</v>
      </c>
    </row>
    <row r="18" spans="1:16">
      <c r="A18" s="26">
        <v>17</v>
      </c>
      <c r="B18" s="9">
        <v>8.8292213893168103</v>
      </c>
      <c r="C18" s="9">
        <v>8.2981287728361739</v>
      </c>
      <c r="D18" s="9">
        <v>8.9942975897108042</v>
      </c>
      <c r="E18" s="9">
        <v>9.2314878707504295</v>
      </c>
      <c r="F18" s="9">
        <v>9.3468504405290975</v>
      </c>
      <c r="G18" s="9">
        <v>9.290026590661169</v>
      </c>
      <c r="H18" s="9">
        <v>8.8100366364625646</v>
      </c>
      <c r="I18" s="9">
        <v>8.8857826199353536</v>
      </c>
      <c r="J18" s="29">
        <v>9.3843599998796403</v>
      </c>
      <c r="K18" s="9">
        <v>9.7063412361814585</v>
      </c>
      <c r="L18" s="9">
        <v>10.458648618562275</v>
      </c>
      <c r="M18" s="9">
        <v>10.349500586345371</v>
      </c>
      <c r="N18" s="9">
        <v>9.5058041312445347</v>
      </c>
      <c r="O18" s="9">
        <v>9.6831037885360089</v>
      </c>
      <c r="P18" s="9">
        <v>9.395228077523468</v>
      </c>
    </row>
    <row r="19" spans="1:16">
      <c r="A19" s="26">
        <v>18</v>
      </c>
      <c r="B19" s="9">
        <v>8.4283359327576957</v>
      </c>
      <c r="C19" s="9">
        <v>8.3719711877790886</v>
      </c>
      <c r="D19" s="9">
        <v>8.4456473809707511</v>
      </c>
      <c r="E19" s="9">
        <v>8.5026493892295516</v>
      </c>
      <c r="F19" s="9">
        <v>8.9546842713435542</v>
      </c>
      <c r="G19" s="9">
        <v>9.2744816402289381</v>
      </c>
      <c r="H19" s="9">
        <v>10.311128469406428</v>
      </c>
      <c r="I19" s="9">
        <v>10.119691105850249</v>
      </c>
      <c r="J19" s="29">
        <v>10.740400065261278</v>
      </c>
      <c r="K19" s="9">
        <v>10.942191443348882</v>
      </c>
      <c r="L19" s="9">
        <v>11.072473420089757</v>
      </c>
      <c r="M19" s="9">
        <v>11.292110307591141</v>
      </c>
      <c r="N19" s="9">
        <v>10.944808041831227</v>
      </c>
      <c r="O19" s="9">
        <v>11.132429122158994</v>
      </c>
      <c r="P19" s="9">
        <v>11.509007296632001</v>
      </c>
    </row>
    <row r="20" spans="1:16">
      <c r="A20" s="26">
        <v>19</v>
      </c>
      <c r="B20" s="9">
        <v>8.3335155426239194</v>
      </c>
      <c r="C20" s="9">
        <v>8.9169558061633225</v>
      </c>
      <c r="D20" s="9">
        <v>9.2765598240045204</v>
      </c>
      <c r="E20" s="9">
        <v>9.3764707009163093</v>
      </c>
      <c r="F20" s="9">
        <v>9.7064639591807751</v>
      </c>
      <c r="G20" s="9">
        <v>9.6349791318967899</v>
      </c>
      <c r="H20" s="9">
        <v>9.493914265447625</v>
      </c>
      <c r="I20" s="9">
        <v>9.6425252459440998</v>
      </c>
      <c r="J20" s="29">
        <v>9.8634599196120885</v>
      </c>
      <c r="K20" s="9">
        <v>10.179680568279691</v>
      </c>
      <c r="L20" s="9">
        <v>10.455102988240709</v>
      </c>
      <c r="M20" s="9">
        <v>9.9345275925930956</v>
      </c>
      <c r="N20" s="9">
        <v>9.7159403501788013</v>
      </c>
      <c r="O20" s="9">
        <v>9.2268695955650202</v>
      </c>
      <c r="P20" s="9">
        <v>9.3505411141782577</v>
      </c>
    </row>
    <row r="21" spans="1:16">
      <c r="A21" s="26">
        <v>20</v>
      </c>
      <c r="B21" s="9">
        <v>8.2232876666555104</v>
      </c>
      <c r="C21" s="9">
        <v>8.6685712583607142</v>
      </c>
      <c r="D21" s="9">
        <v>8.6997993835279548</v>
      </c>
      <c r="E21" s="9">
        <v>8.7094782009474336</v>
      </c>
      <c r="F21" s="9">
        <v>8.2900248605682592</v>
      </c>
      <c r="G21" s="9">
        <v>8.4970577615943021</v>
      </c>
      <c r="H21" s="9">
        <v>8.5409873166029904</v>
      </c>
      <c r="I21" s="9">
        <v>8.5267353118730576</v>
      </c>
      <c r="J21" s="29">
        <v>8.4769521470693991</v>
      </c>
      <c r="K21" s="9">
        <v>8.69044287854266</v>
      </c>
      <c r="L21" s="9">
        <v>9.029070887459925</v>
      </c>
      <c r="M21" s="9">
        <v>8.82711458167757</v>
      </c>
      <c r="N21" s="9">
        <v>9.1400629341194346</v>
      </c>
      <c r="O21" s="9">
        <v>9.9680795068884791</v>
      </c>
      <c r="P21" s="9">
        <v>10.337309750370991</v>
      </c>
    </row>
    <row r="22" spans="1:16">
      <c r="A22" s="26">
        <v>21</v>
      </c>
      <c r="B22" s="9">
        <v>8.995704453826745</v>
      </c>
      <c r="C22" s="9">
        <v>9.3537328997302414</v>
      </c>
      <c r="D22" s="9">
        <v>9.5589685877263406</v>
      </c>
      <c r="E22" s="9">
        <v>9.4900809084916791</v>
      </c>
      <c r="F22" s="9">
        <v>10.217855667066056</v>
      </c>
      <c r="G22" s="9">
        <v>9.8516299195048944</v>
      </c>
      <c r="H22" s="9">
        <v>9.5725183293323735</v>
      </c>
      <c r="I22" s="9">
        <v>9.1781533770420811</v>
      </c>
      <c r="J22" s="29">
        <v>10.232938756511171</v>
      </c>
      <c r="K22" s="9">
        <v>10.473266542199841</v>
      </c>
      <c r="L22" s="9">
        <v>10.68713955023963</v>
      </c>
      <c r="M22" s="9">
        <v>10.335515602099717</v>
      </c>
      <c r="N22" s="9">
        <v>10.486980466926045</v>
      </c>
      <c r="O22" s="9">
        <v>10.213341024148795</v>
      </c>
      <c r="P22" s="9">
        <v>10.756736665523968</v>
      </c>
    </row>
    <row r="23" spans="1:16">
      <c r="A23" s="26">
        <v>22</v>
      </c>
      <c r="B23" s="9">
        <v>9.0536535359159771</v>
      </c>
      <c r="C23" s="9">
        <v>9.299137951816915</v>
      </c>
      <c r="D23" s="9">
        <v>9.3224082091939575</v>
      </c>
      <c r="E23" s="9">
        <v>9.5833670731594651</v>
      </c>
      <c r="F23" s="9">
        <v>10.197547907658832</v>
      </c>
      <c r="G23" s="9">
        <v>10.270297628156111</v>
      </c>
      <c r="H23" s="9">
        <v>10.018479009920121</v>
      </c>
      <c r="I23" s="9">
        <v>10.156485115458743</v>
      </c>
      <c r="J23" s="29">
        <v>10.761743933843814</v>
      </c>
      <c r="K23" s="9">
        <v>10.513895710745247</v>
      </c>
      <c r="L23" s="9">
        <v>10.751667172255505</v>
      </c>
      <c r="M23" s="9">
        <v>10.220511010848641</v>
      </c>
      <c r="N23" s="9">
        <v>10.520277197421038</v>
      </c>
      <c r="O23" s="9">
        <v>10.646203830602673</v>
      </c>
      <c r="P23" s="9">
        <v>10.596513136375465</v>
      </c>
    </row>
    <row r="24" spans="1:16">
      <c r="A24" s="26">
        <v>23</v>
      </c>
      <c r="B24" s="9">
        <v>8.2935283031288005</v>
      </c>
      <c r="C24" s="9">
        <v>8.0731453327014222</v>
      </c>
      <c r="D24" s="9">
        <v>7.8377105824317574</v>
      </c>
      <c r="E24" s="9">
        <v>7.9461754995638856</v>
      </c>
      <c r="F24" s="9">
        <v>7.8539595883906257</v>
      </c>
      <c r="G24" s="9">
        <v>7.8410585309578238</v>
      </c>
      <c r="H24" s="9">
        <v>7.4356467681033189</v>
      </c>
      <c r="I24" s="9">
        <v>7.7155789065885303</v>
      </c>
      <c r="J24" s="29">
        <v>7.4432694201132383</v>
      </c>
      <c r="K24" s="9">
        <v>7.314811331493595</v>
      </c>
      <c r="L24" s="9">
        <v>7.0107426191350992</v>
      </c>
      <c r="M24" s="9">
        <v>7.0328881933140739</v>
      </c>
      <c r="N24" s="9">
        <v>7.2584652959863147</v>
      </c>
      <c r="O24" s="9">
        <v>7.3134213749320214</v>
      </c>
      <c r="P24" s="9">
        <v>7.4670602391865746</v>
      </c>
    </row>
    <row r="25" spans="1:16">
      <c r="A25" s="26">
        <v>24</v>
      </c>
      <c r="B25" s="9">
        <v>8.8315631088037314</v>
      </c>
      <c r="C25" s="9">
        <v>8.9591496571293199</v>
      </c>
      <c r="D25" s="9">
        <v>8.6241202394630871</v>
      </c>
      <c r="E25" s="9">
        <v>8.8319841229809324</v>
      </c>
      <c r="F25" s="9">
        <v>8.9940688241412303</v>
      </c>
      <c r="G25" s="9">
        <v>9.6193090367075378</v>
      </c>
      <c r="H25" s="9">
        <v>9.3225420213078003</v>
      </c>
      <c r="I25" s="9">
        <v>9.4990027798397048</v>
      </c>
      <c r="J25" s="29">
        <v>10.082857546016182</v>
      </c>
      <c r="K25" s="9">
        <v>10.138590052869004</v>
      </c>
      <c r="L25" s="9">
        <v>10.497857664636488</v>
      </c>
      <c r="M25" s="9">
        <v>10.24786426226728</v>
      </c>
      <c r="N25" s="9">
        <v>10.715649279233219</v>
      </c>
      <c r="O25" s="9">
        <v>11.389928583123618</v>
      </c>
      <c r="P25" s="9">
        <v>12.089957136420725</v>
      </c>
    </row>
    <row r="26" spans="1:16">
      <c r="A26" s="26">
        <v>25</v>
      </c>
      <c r="B26" s="9">
        <v>8.9248542461430205</v>
      </c>
      <c r="C26" s="9">
        <v>9.0002516088174378</v>
      </c>
      <c r="D26" s="9">
        <v>9.3117203006790241</v>
      </c>
      <c r="E26" s="9">
        <v>10.113073577799549</v>
      </c>
      <c r="F26" s="9">
        <v>10.635814425320653</v>
      </c>
      <c r="G26" s="9">
        <v>10.557328712096934</v>
      </c>
      <c r="H26" s="9">
        <v>10.721453047650742</v>
      </c>
      <c r="I26" s="9">
        <v>10.675549353926309</v>
      </c>
      <c r="J26" s="29">
        <v>11.245869395153962</v>
      </c>
      <c r="K26" s="9">
        <v>11.172275608426341</v>
      </c>
      <c r="L26" s="9">
        <v>11.273611223573447</v>
      </c>
      <c r="M26" s="9">
        <v>11.638030931191246</v>
      </c>
      <c r="N26" s="9">
        <v>12.051017758755664</v>
      </c>
      <c r="O26" s="9">
        <v>12.262857622812042</v>
      </c>
      <c r="P26" s="9">
        <v>12.585627956756049</v>
      </c>
    </row>
    <row r="27" spans="1:16">
      <c r="A27" s="26">
        <v>26</v>
      </c>
      <c r="B27" s="9">
        <v>8.3572699879947798</v>
      </c>
      <c r="C27" s="9">
        <v>8.2073718727328977</v>
      </c>
      <c r="D27" s="9">
        <v>8.0946741329468175</v>
      </c>
      <c r="E27" s="9">
        <v>7.9889193487124013</v>
      </c>
      <c r="F27" s="9">
        <v>8.1181315023219458</v>
      </c>
      <c r="G27" s="9">
        <v>7.8065743437872017</v>
      </c>
      <c r="H27" s="9">
        <v>8.3339752974642671</v>
      </c>
      <c r="I27" s="9">
        <v>8.0763847023037041</v>
      </c>
      <c r="J27" s="29">
        <v>7.2621227467026115</v>
      </c>
      <c r="K27" s="9">
        <v>6.7668295366759699</v>
      </c>
      <c r="L27" s="9">
        <v>7.0484307199316083</v>
      </c>
      <c r="M27" s="9">
        <v>7.3299909788007511</v>
      </c>
      <c r="N27" s="9">
        <v>7.2096595932353731</v>
      </c>
      <c r="O27" s="9">
        <v>7.4506142399759332</v>
      </c>
      <c r="P27" s="9">
        <v>7.5439751175963634</v>
      </c>
    </row>
    <row r="28" spans="1:16">
      <c r="A28" s="26">
        <v>27</v>
      </c>
      <c r="B28" s="9">
        <v>8.3166708675458718</v>
      </c>
      <c r="C28" s="9">
        <v>8.4303402436679793</v>
      </c>
      <c r="D28" s="9">
        <v>8.4355643990246332</v>
      </c>
      <c r="E28" s="9">
        <v>8.862138172647386</v>
      </c>
      <c r="F28" s="9">
        <v>8.6179606594008629</v>
      </c>
      <c r="G28" s="9">
        <v>9.2756110273579999</v>
      </c>
      <c r="H28" s="9">
        <v>9.0186464495750034</v>
      </c>
      <c r="I28" s="9">
        <v>9.5140103247863692</v>
      </c>
      <c r="J28" s="29">
        <v>9.9088564216039625</v>
      </c>
      <c r="K28" s="9">
        <v>9.9560690054677767</v>
      </c>
      <c r="L28" s="9">
        <v>9.9799501524839958</v>
      </c>
      <c r="M28" s="9">
        <v>10.440180665439302</v>
      </c>
      <c r="N28" s="9">
        <v>9.8508970518040861</v>
      </c>
      <c r="O28" s="9">
        <v>10.2285863199329</v>
      </c>
      <c r="P28" s="9">
        <v>10.23875438189414</v>
      </c>
    </row>
    <row r="29" spans="1:16">
      <c r="A29" s="26">
        <v>28</v>
      </c>
      <c r="B29" s="9">
        <v>8.3772847916383046</v>
      </c>
      <c r="C29" s="9">
        <v>8.4181606914824876</v>
      </c>
      <c r="D29" s="9">
        <v>8.2011658562499612</v>
      </c>
      <c r="E29" s="9">
        <v>8.6270544611652049</v>
      </c>
      <c r="F29" s="9">
        <v>8.7123203477393538</v>
      </c>
      <c r="G29" s="9">
        <v>8.8685842274060196</v>
      </c>
      <c r="H29" s="9">
        <v>8.5388691666855898</v>
      </c>
      <c r="I29" s="9">
        <v>8.166661282795685</v>
      </c>
      <c r="J29" s="29">
        <v>8.0675675301992555</v>
      </c>
      <c r="K29" s="9">
        <v>7.9656151751627959</v>
      </c>
      <c r="L29" s="9">
        <v>7.9909135931779218</v>
      </c>
      <c r="M29" s="9">
        <v>8.0800878929664268</v>
      </c>
      <c r="N29" s="9">
        <v>8.0307314306204365</v>
      </c>
      <c r="O29" s="9">
        <v>8.3108834094598514</v>
      </c>
      <c r="P29" s="9">
        <v>8.6083859668466705</v>
      </c>
    </row>
    <row r="30" spans="1:16">
      <c r="A30" s="26">
        <v>29</v>
      </c>
      <c r="B30" s="9">
        <v>9.040213781396524</v>
      </c>
      <c r="C30" s="9">
        <v>9.5006128059939954</v>
      </c>
      <c r="D30" s="9">
        <v>9.0742048114450675</v>
      </c>
      <c r="E30" s="9">
        <v>9.1311549472054008</v>
      </c>
      <c r="F30" s="9">
        <v>9.60176966337362</v>
      </c>
      <c r="G30" s="9">
        <v>9.9039964066442465</v>
      </c>
      <c r="H30" s="9">
        <v>10.514394046030409</v>
      </c>
      <c r="I30" s="9">
        <v>9.9363044707013177</v>
      </c>
      <c r="J30" s="29">
        <v>10.041323917739934</v>
      </c>
      <c r="K30" s="9">
        <v>10.372612655745902</v>
      </c>
      <c r="L30" s="9">
        <v>10.188969318510457</v>
      </c>
      <c r="M30" s="9">
        <v>10.372803219511127</v>
      </c>
      <c r="N30" s="9">
        <v>10.091755316459789</v>
      </c>
      <c r="O30" s="9">
        <v>9.931423293964901</v>
      </c>
      <c r="P30" s="9">
        <v>10.068468738095058</v>
      </c>
    </row>
    <row r="31" spans="1:16">
      <c r="A31" s="26">
        <v>30</v>
      </c>
      <c r="B31" s="9">
        <v>8.5275471698467058</v>
      </c>
      <c r="C31" s="9">
        <v>8.4534642825709234</v>
      </c>
      <c r="D31" s="9">
        <v>9.13908754690266</v>
      </c>
      <c r="E31" s="9">
        <v>9.2715061389178715</v>
      </c>
      <c r="F31" s="9">
        <v>9.4339807380356326</v>
      </c>
      <c r="G31" s="9">
        <v>10.025245351330277</v>
      </c>
      <c r="H31" s="9">
        <v>10.251384430649848</v>
      </c>
      <c r="I31" s="9">
        <v>10.260325359842565</v>
      </c>
      <c r="J31" s="29">
        <v>10.388535420651715</v>
      </c>
      <c r="K31" s="9">
        <v>10.584377772550171</v>
      </c>
      <c r="L31" s="9">
        <v>10.514498595818841</v>
      </c>
      <c r="M31" s="9">
        <v>10.835893472628365</v>
      </c>
      <c r="N31" s="9">
        <v>10.558989027949048</v>
      </c>
      <c r="O31" s="9">
        <v>10.477039982067836</v>
      </c>
      <c r="P31" s="9">
        <v>10.821645538440945</v>
      </c>
    </row>
  </sheetData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 enableFormatConditionsCalculation="0">
    <tabColor indexed="50"/>
  </sheetPr>
  <dimension ref="A1:P31"/>
  <sheetViews>
    <sheetView workbookViewId="0"/>
  </sheetViews>
  <sheetFormatPr defaultRowHeight="12.75"/>
  <cols>
    <col min="1" max="1" width="9.140625" style="26"/>
    <col min="2" max="9" width="9.140625" style="9"/>
    <col min="10" max="10" width="9.140625" style="29"/>
    <col min="11" max="16384" width="9.140625" style="9"/>
  </cols>
  <sheetData>
    <row r="1" spans="1:16" s="31" customFormat="1">
      <c r="A1" s="30"/>
      <c r="B1" s="13">
        <v>1</v>
      </c>
      <c r="C1" s="13">
        <v>2</v>
      </c>
      <c r="D1" s="13">
        <v>3</v>
      </c>
      <c r="E1" s="13">
        <v>4</v>
      </c>
      <c r="F1" s="13">
        <v>5</v>
      </c>
      <c r="G1" s="31">
        <v>6</v>
      </c>
      <c r="H1" s="31">
        <v>7</v>
      </c>
      <c r="I1" s="31">
        <v>8</v>
      </c>
      <c r="J1" s="31">
        <v>9</v>
      </c>
      <c r="K1" s="31">
        <v>10</v>
      </c>
      <c r="L1" s="31">
        <v>11</v>
      </c>
      <c r="M1" s="31">
        <v>12</v>
      </c>
      <c r="N1" s="31">
        <v>13</v>
      </c>
      <c r="O1" s="31">
        <v>14</v>
      </c>
      <c r="P1" s="31">
        <v>15</v>
      </c>
    </row>
    <row r="2" spans="1:16">
      <c r="A2" s="26">
        <v>1</v>
      </c>
      <c r="B2" s="9">
        <v>22.104835965773962</v>
      </c>
      <c r="C2" s="9">
        <v>21.949295605067348</v>
      </c>
      <c r="D2" s="9">
        <v>22.702040598315534</v>
      </c>
      <c r="E2" s="9">
        <v>22.906315166633654</v>
      </c>
      <c r="F2" s="9">
        <v>22.883025058090521</v>
      </c>
      <c r="G2" s="9">
        <v>24.114107038695899</v>
      </c>
      <c r="H2" s="9">
        <v>23.890155303041468</v>
      </c>
      <c r="I2" s="9">
        <v>24.116528751372108</v>
      </c>
      <c r="J2" s="29">
        <v>24.302832479478713</v>
      </c>
      <c r="K2" s="9">
        <v>24.522263937527356</v>
      </c>
      <c r="L2" s="9">
        <v>25.003053923449553</v>
      </c>
      <c r="M2" s="9">
        <v>25.292897116241154</v>
      </c>
      <c r="N2" s="9">
        <v>24.587451802098776</v>
      </c>
      <c r="O2" s="9">
        <v>24.667016762071853</v>
      </c>
      <c r="P2" s="9">
        <v>24.970946525855808</v>
      </c>
    </row>
    <row r="3" spans="1:16">
      <c r="A3" s="26">
        <v>2</v>
      </c>
      <c r="B3" s="9">
        <v>21.566059244547066</v>
      </c>
      <c r="C3" s="9">
        <v>22.77379326015733</v>
      </c>
      <c r="D3" s="9">
        <v>22.998799769742043</v>
      </c>
      <c r="E3" s="9">
        <v>22.907222761687084</v>
      </c>
      <c r="F3" s="9">
        <v>23.140337920482853</v>
      </c>
      <c r="G3" s="9">
        <v>23.217695038646326</v>
      </c>
      <c r="H3" s="9">
        <v>23.486966279341814</v>
      </c>
      <c r="I3" s="9">
        <v>23.606850449705274</v>
      </c>
      <c r="J3" s="29">
        <v>24.288443456995164</v>
      </c>
      <c r="K3" s="9">
        <v>24.320881561183921</v>
      </c>
      <c r="L3" s="9">
        <v>24.811733700251331</v>
      </c>
      <c r="M3" s="9">
        <v>25.118597541187867</v>
      </c>
      <c r="N3" s="9">
        <v>25.180997790798724</v>
      </c>
      <c r="O3" s="9">
        <v>25.450554973556706</v>
      </c>
      <c r="P3" s="9">
        <v>25.125159317504583</v>
      </c>
    </row>
    <row r="4" spans="1:16">
      <c r="A4" s="26">
        <v>3</v>
      </c>
      <c r="B4" s="9">
        <v>21.284511325870128</v>
      </c>
      <c r="C4" s="9">
        <v>21.089329660793009</v>
      </c>
      <c r="D4" s="9">
        <v>21.200787622670028</v>
      </c>
      <c r="E4" s="9">
        <v>21.551585261097827</v>
      </c>
      <c r="F4" s="9">
        <v>21.238190315865136</v>
      </c>
      <c r="G4" s="9">
        <v>21.543611679692614</v>
      </c>
      <c r="H4" s="9">
        <v>22.133198246182612</v>
      </c>
      <c r="I4" s="9">
        <v>22.209739114009452</v>
      </c>
      <c r="J4" s="29">
        <v>22.4868807118212</v>
      </c>
      <c r="K4" s="9">
        <v>22.655825980288601</v>
      </c>
      <c r="L4" s="9">
        <v>23.013461976969626</v>
      </c>
      <c r="M4" s="9">
        <v>22.670399958880999</v>
      </c>
      <c r="N4" s="9">
        <v>22.505699421966071</v>
      </c>
      <c r="O4" s="9">
        <v>22.591405924813248</v>
      </c>
      <c r="P4" s="9">
        <v>23.008660428939066</v>
      </c>
    </row>
    <row r="5" spans="1:16">
      <c r="A5" s="26">
        <v>4</v>
      </c>
      <c r="B5" s="9">
        <v>22.378974160096455</v>
      </c>
      <c r="C5" s="9">
        <v>22.079757293605226</v>
      </c>
      <c r="D5" s="9">
        <v>21.57648363255592</v>
      </c>
      <c r="E5" s="9">
        <v>21.805991486170385</v>
      </c>
      <c r="F5" s="9">
        <v>22.18053615017584</v>
      </c>
      <c r="G5" s="9">
        <v>22.964351327266165</v>
      </c>
      <c r="H5" s="9">
        <v>23.016772418506502</v>
      </c>
      <c r="I5" s="9">
        <v>23.120727276516298</v>
      </c>
      <c r="J5" s="29">
        <v>24.089823598747891</v>
      </c>
      <c r="K5" s="9">
        <v>23.859545192996901</v>
      </c>
      <c r="L5" s="9">
        <v>23.193672881213669</v>
      </c>
      <c r="M5" s="9">
        <v>22.83318431702731</v>
      </c>
      <c r="N5" s="9">
        <v>23.053005299562741</v>
      </c>
      <c r="O5" s="9">
        <v>23.591174603158642</v>
      </c>
      <c r="P5" s="9">
        <v>23.752697345242357</v>
      </c>
    </row>
    <row r="6" spans="1:16">
      <c r="A6" s="26">
        <v>5</v>
      </c>
      <c r="B6" s="9">
        <v>21.531078788405047</v>
      </c>
      <c r="C6" s="9">
        <v>21.875314726573293</v>
      </c>
      <c r="D6" s="9">
        <v>22.452108796004548</v>
      </c>
      <c r="E6" s="9">
        <v>22.67446855727351</v>
      </c>
      <c r="F6" s="9">
        <v>22.859740089403168</v>
      </c>
      <c r="G6" s="9">
        <v>23.0017673449256</v>
      </c>
      <c r="H6" s="9">
        <v>22.639534298494347</v>
      </c>
      <c r="I6" s="9">
        <v>23.212612820344901</v>
      </c>
      <c r="J6" s="29">
        <v>23.291194992268572</v>
      </c>
      <c r="K6" s="9">
        <v>23.155092200378522</v>
      </c>
      <c r="L6" s="9">
        <v>22.71077291090873</v>
      </c>
      <c r="M6" s="9">
        <v>22.410079811571446</v>
      </c>
      <c r="N6" s="9">
        <v>22.46649144646657</v>
      </c>
      <c r="O6" s="9">
        <v>22.215341989388094</v>
      </c>
      <c r="P6" s="9">
        <v>22.381071138308311</v>
      </c>
    </row>
    <row r="7" spans="1:16">
      <c r="A7" s="26">
        <v>6</v>
      </c>
      <c r="B7" s="9">
        <v>22.166842371301342</v>
      </c>
      <c r="C7" s="9">
        <v>22.009047675967878</v>
      </c>
      <c r="D7" s="9">
        <v>22.07426545530322</v>
      </c>
      <c r="E7" s="9">
        <v>21.82289733911449</v>
      </c>
      <c r="F7" s="9">
        <v>21.945053091952939</v>
      </c>
      <c r="G7" s="9">
        <v>21.79255212310915</v>
      </c>
      <c r="H7" s="9">
        <v>21.93028311460434</v>
      </c>
      <c r="I7" s="9">
        <v>22.422156510914437</v>
      </c>
      <c r="J7" s="29">
        <v>22.134895516965052</v>
      </c>
      <c r="K7" s="9">
        <v>22.22967821201717</v>
      </c>
      <c r="L7" s="9">
        <v>22.330808586631015</v>
      </c>
      <c r="M7" s="9">
        <v>22.420497239399641</v>
      </c>
      <c r="N7" s="9">
        <v>22.629801704435494</v>
      </c>
      <c r="O7" s="9">
        <v>22.51440418793214</v>
      </c>
      <c r="P7" s="9">
        <v>23.560386941482687</v>
      </c>
    </row>
    <row r="8" spans="1:16">
      <c r="A8" s="26">
        <v>7</v>
      </c>
      <c r="B8" s="9">
        <v>22.014169877535341</v>
      </c>
      <c r="C8" s="9">
        <v>22.212257730670856</v>
      </c>
      <c r="D8" s="9">
        <v>22.049652815058231</v>
      </c>
      <c r="E8" s="9">
        <v>22.2612666687752</v>
      </c>
      <c r="F8" s="9">
        <v>21.976177820927742</v>
      </c>
      <c r="G8" s="9">
        <v>21.967642571814586</v>
      </c>
      <c r="H8" s="9">
        <v>22.226510171372706</v>
      </c>
      <c r="I8" s="9">
        <v>22.177029886216626</v>
      </c>
      <c r="J8" s="29">
        <v>22.04713915599902</v>
      </c>
      <c r="K8" s="9">
        <v>21.940856589722454</v>
      </c>
      <c r="L8" s="9">
        <v>21.737216690405816</v>
      </c>
      <c r="M8" s="9">
        <v>22.409585728788752</v>
      </c>
      <c r="N8" s="9">
        <v>22.853068385670465</v>
      </c>
      <c r="O8" s="9">
        <v>22.774886705251017</v>
      </c>
      <c r="P8" s="9">
        <v>24.293119278008142</v>
      </c>
    </row>
    <row r="9" spans="1:16">
      <c r="A9" s="26">
        <v>8</v>
      </c>
      <c r="B9" s="9">
        <v>21.889588528903214</v>
      </c>
      <c r="C9" s="9">
        <v>22.355497125427139</v>
      </c>
      <c r="D9" s="9">
        <v>22.215953035119629</v>
      </c>
      <c r="E9" s="9">
        <v>22.802243905046907</v>
      </c>
      <c r="F9" s="9">
        <v>23.209764065704228</v>
      </c>
      <c r="G9" s="9">
        <v>22.603915009533956</v>
      </c>
      <c r="H9" s="9">
        <v>22.31956913036025</v>
      </c>
      <c r="I9" s="9">
        <v>22.463315268558461</v>
      </c>
      <c r="J9" s="29">
        <v>22.375253375882309</v>
      </c>
      <c r="K9" s="9">
        <v>22.450999681699653</v>
      </c>
      <c r="L9" s="9">
        <v>22.15276679758831</v>
      </c>
      <c r="M9" s="9">
        <v>21.987718211636043</v>
      </c>
      <c r="N9" s="9">
        <v>21.761971743854332</v>
      </c>
      <c r="O9" s="9">
        <v>21.387983332801511</v>
      </c>
      <c r="P9" s="9">
        <v>20.836363973560577</v>
      </c>
    </row>
    <row r="10" spans="1:16">
      <c r="A10" s="26">
        <v>9</v>
      </c>
      <c r="B10" s="9">
        <v>22.188621816934674</v>
      </c>
      <c r="C10" s="9">
        <v>22.360858167225192</v>
      </c>
      <c r="D10" s="9">
        <v>22.199337249757363</v>
      </c>
      <c r="E10" s="9">
        <v>22.375307327862906</v>
      </c>
      <c r="F10" s="9">
        <v>22.528159686693865</v>
      </c>
      <c r="G10" s="9">
        <v>22.191305420029181</v>
      </c>
      <c r="H10" s="9">
        <v>22.010355102948992</v>
      </c>
      <c r="I10" s="9">
        <v>22.955190125943073</v>
      </c>
      <c r="J10" s="29">
        <v>22.77030706638449</v>
      </c>
      <c r="K10" s="9">
        <v>22.735786772551258</v>
      </c>
      <c r="L10" s="9">
        <v>22.564334005864172</v>
      </c>
      <c r="M10" s="9">
        <v>22.713638552520887</v>
      </c>
      <c r="N10" s="9">
        <v>22.508303068878028</v>
      </c>
      <c r="O10" s="9">
        <v>22.400891841031711</v>
      </c>
      <c r="P10" s="9">
        <v>22.983928525031757</v>
      </c>
    </row>
    <row r="11" spans="1:16">
      <c r="A11" s="26">
        <v>10</v>
      </c>
      <c r="B11" s="9">
        <v>21.978862003289994</v>
      </c>
      <c r="C11" s="9">
        <v>22.071130207437598</v>
      </c>
      <c r="D11" s="9">
        <v>22.293285250076821</v>
      </c>
      <c r="E11" s="9">
        <v>22.29389483481447</v>
      </c>
      <c r="F11" s="9">
        <v>22.79937300550619</v>
      </c>
      <c r="G11" s="9">
        <v>22.488385274535986</v>
      </c>
      <c r="H11" s="9">
        <v>22.761082833314969</v>
      </c>
      <c r="I11" s="9">
        <v>22.22817912817213</v>
      </c>
      <c r="J11" s="29">
        <v>22.670421477781684</v>
      </c>
      <c r="K11" s="9">
        <v>23.240133742987773</v>
      </c>
      <c r="L11" s="9">
        <v>23.548798411538414</v>
      </c>
      <c r="M11" s="9">
        <v>23.455987446689775</v>
      </c>
      <c r="N11" s="9">
        <v>24.224552252454259</v>
      </c>
      <c r="O11" s="9">
        <v>24.390561478160603</v>
      </c>
      <c r="P11" s="9">
        <v>25.057668282906398</v>
      </c>
    </row>
    <row r="12" spans="1:16">
      <c r="A12" s="26">
        <v>11</v>
      </c>
      <c r="B12" s="9">
        <v>22.250068512129477</v>
      </c>
      <c r="C12" s="9">
        <v>22.947880906988463</v>
      </c>
      <c r="D12" s="9">
        <v>22.798527149661798</v>
      </c>
      <c r="E12" s="9">
        <v>23.591826319643246</v>
      </c>
      <c r="F12" s="9">
        <v>23.995713629117045</v>
      </c>
      <c r="G12" s="9">
        <v>24.642607530766174</v>
      </c>
      <c r="H12" s="9">
        <v>24.318164939240415</v>
      </c>
      <c r="I12" s="9">
        <v>24.239316984247331</v>
      </c>
      <c r="J12" s="29">
        <v>24.722623522656914</v>
      </c>
      <c r="K12" s="9">
        <v>24.817288838488434</v>
      </c>
      <c r="L12" s="9">
        <v>25.564800481797572</v>
      </c>
      <c r="M12" s="9">
        <v>25.938786423409574</v>
      </c>
      <c r="N12" s="9">
        <v>25.539935305576076</v>
      </c>
      <c r="O12" s="9">
        <v>24.716115294894095</v>
      </c>
      <c r="P12" s="9">
        <v>25.507389909500713</v>
      </c>
    </row>
    <row r="13" spans="1:16">
      <c r="A13" s="26">
        <v>12</v>
      </c>
      <c r="B13" s="9">
        <v>22.775184433906489</v>
      </c>
      <c r="C13" s="9">
        <v>23.529791353725894</v>
      </c>
      <c r="D13" s="9">
        <v>22.807166861163545</v>
      </c>
      <c r="E13" s="9">
        <v>22.483116846770375</v>
      </c>
      <c r="F13" s="9">
        <v>22.658862178521709</v>
      </c>
      <c r="G13" s="9">
        <v>22.466669987932569</v>
      </c>
      <c r="H13" s="9">
        <v>22.343171144471185</v>
      </c>
      <c r="I13" s="9">
        <v>23.187773122214104</v>
      </c>
      <c r="J13" s="29">
        <v>23.457812028793306</v>
      </c>
      <c r="K13" s="9">
        <v>23.208458146042382</v>
      </c>
      <c r="L13" s="9">
        <v>23.310016536659177</v>
      </c>
      <c r="M13" s="9">
        <v>23.241437037199567</v>
      </c>
      <c r="N13" s="9">
        <v>23.304250308512891</v>
      </c>
      <c r="O13" s="9">
        <v>23.920990124857564</v>
      </c>
      <c r="P13" s="9">
        <v>24.048185943263032</v>
      </c>
    </row>
    <row r="14" spans="1:16">
      <c r="A14" s="26">
        <v>13</v>
      </c>
      <c r="B14" s="9">
        <v>21.904541357401857</v>
      </c>
      <c r="C14" s="9">
        <v>21.510976089268361</v>
      </c>
      <c r="D14" s="9">
        <v>22.027642175582105</v>
      </c>
      <c r="E14" s="9">
        <v>21.799466899777372</v>
      </c>
      <c r="F14" s="9">
        <v>22.039686983943167</v>
      </c>
      <c r="G14" s="9">
        <v>22.370600104895665</v>
      </c>
      <c r="H14" s="9">
        <v>22.213588541833872</v>
      </c>
      <c r="I14" s="9">
        <v>22.763276575192737</v>
      </c>
      <c r="J14" s="29">
        <v>23.125754847176207</v>
      </c>
      <c r="K14" s="9">
        <v>23.357827205697095</v>
      </c>
      <c r="L14" s="9">
        <v>22.986079962217794</v>
      </c>
      <c r="M14" s="9">
        <v>22.765108720634295</v>
      </c>
      <c r="N14" s="9">
        <v>23.683090572666849</v>
      </c>
      <c r="O14" s="9">
        <v>23.953562027892296</v>
      </c>
      <c r="P14" s="9">
        <v>24.54826047849043</v>
      </c>
    </row>
    <row r="15" spans="1:16">
      <c r="A15" s="26">
        <v>14</v>
      </c>
      <c r="B15" s="9">
        <v>21.574762996528989</v>
      </c>
      <c r="C15" s="9">
        <v>21.657895859182368</v>
      </c>
      <c r="D15" s="9">
        <v>21.722914513621195</v>
      </c>
      <c r="E15" s="9">
        <v>21.903516357472149</v>
      </c>
      <c r="F15" s="9">
        <v>21.841630788168189</v>
      </c>
      <c r="G15" s="9">
        <v>21.592070952746237</v>
      </c>
      <c r="H15" s="9">
        <v>21.917548636622943</v>
      </c>
      <c r="I15" s="9">
        <v>21.635845978192222</v>
      </c>
      <c r="J15" s="29">
        <v>21.007218010862502</v>
      </c>
      <c r="K15" s="9">
        <v>20.630047134646144</v>
      </c>
      <c r="L15" s="9">
        <v>20.847133153486212</v>
      </c>
      <c r="M15" s="9">
        <v>21.235359923208463</v>
      </c>
      <c r="N15" s="9">
        <v>21.186517247838854</v>
      </c>
      <c r="O15" s="9">
        <v>21.476831449886571</v>
      </c>
      <c r="P15" s="9">
        <v>22.263625323588133</v>
      </c>
    </row>
    <row r="16" spans="1:16">
      <c r="A16" s="26">
        <v>15</v>
      </c>
      <c r="B16" s="9">
        <v>22.071947152198863</v>
      </c>
      <c r="C16" s="9">
        <v>22.128141280004392</v>
      </c>
      <c r="D16" s="9">
        <v>23.123655195902966</v>
      </c>
      <c r="E16" s="9">
        <v>23.201153501091689</v>
      </c>
      <c r="F16" s="9">
        <v>22.98968937787151</v>
      </c>
      <c r="G16" s="9">
        <v>23.298440796113443</v>
      </c>
      <c r="H16" s="9">
        <v>23.898419437023559</v>
      </c>
      <c r="I16" s="9">
        <v>24.837823775409298</v>
      </c>
      <c r="J16" s="29">
        <v>24.609227952209654</v>
      </c>
      <c r="K16" s="9">
        <v>24.114107492445214</v>
      </c>
      <c r="L16" s="9">
        <v>24.363194494740778</v>
      </c>
      <c r="M16" s="9">
        <v>24.050945555101155</v>
      </c>
      <c r="N16" s="9">
        <v>23.690866745114565</v>
      </c>
      <c r="O16" s="9">
        <v>23.526537129769618</v>
      </c>
      <c r="P16" s="9">
        <v>24.220076223804856</v>
      </c>
    </row>
    <row r="17" spans="1:16">
      <c r="A17" s="26">
        <v>16</v>
      </c>
      <c r="B17" s="9">
        <v>21.788777085998582</v>
      </c>
      <c r="C17" s="9">
        <v>21.440312944889786</v>
      </c>
      <c r="D17" s="9">
        <v>21.387740902266778</v>
      </c>
      <c r="E17" s="9">
        <v>21.606239798265836</v>
      </c>
      <c r="F17" s="9">
        <v>21.789673945067829</v>
      </c>
      <c r="G17" s="9">
        <v>21.810079811337165</v>
      </c>
      <c r="H17" s="9">
        <v>22.097718873423524</v>
      </c>
      <c r="I17" s="9">
        <v>22.104595107884485</v>
      </c>
      <c r="J17" s="29">
        <v>22.094800029700664</v>
      </c>
      <c r="K17" s="9">
        <v>22.541074461594626</v>
      </c>
      <c r="L17" s="9">
        <v>21.873314996143932</v>
      </c>
      <c r="M17" s="9">
        <v>22.15604976911607</v>
      </c>
      <c r="N17" s="9">
        <v>20.97861313337555</v>
      </c>
      <c r="O17" s="9">
        <v>20.981772335738412</v>
      </c>
      <c r="P17" s="9">
        <v>20.878854490365594</v>
      </c>
    </row>
    <row r="18" spans="1:16">
      <c r="A18" s="26">
        <v>17</v>
      </c>
      <c r="B18" s="9">
        <v>21.709898010257763</v>
      </c>
      <c r="C18" s="9">
        <v>21.873539271727847</v>
      </c>
      <c r="D18" s="9">
        <v>22.152994239301911</v>
      </c>
      <c r="E18" s="9">
        <v>22.75762288465809</v>
      </c>
      <c r="F18" s="9">
        <v>23.009553204398344</v>
      </c>
      <c r="G18" s="9">
        <v>23.299579710628546</v>
      </c>
      <c r="H18" s="9">
        <v>23.524475730446305</v>
      </c>
      <c r="I18" s="9">
        <v>23.859067599423678</v>
      </c>
      <c r="J18" s="29">
        <v>24.396794264666063</v>
      </c>
      <c r="K18" s="9">
        <v>24.903833763844606</v>
      </c>
      <c r="L18" s="9">
        <v>25.48156539165068</v>
      </c>
      <c r="M18" s="9">
        <v>25.421443130023199</v>
      </c>
      <c r="N18" s="9">
        <v>26.192402041836697</v>
      </c>
      <c r="O18" s="9">
        <v>26.50086100214163</v>
      </c>
      <c r="P18" s="9">
        <v>26.758570710096311</v>
      </c>
    </row>
    <row r="19" spans="1:16">
      <c r="A19" s="26">
        <v>18</v>
      </c>
      <c r="B19" s="9">
        <v>22.073712363431305</v>
      </c>
      <c r="C19" s="9">
        <v>22.005315602028791</v>
      </c>
      <c r="D19" s="9">
        <v>22.622303045026964</v>
      </c>
      <c r="E19" s="9">
        <v>22.557513369427017</v>
      </c>
      <c r="F19" s="9">
        <v>22.61019145926031</v>
      </c>
      <c r="G19" s="9">
        <v>21.895374202166874</v>
      </c>
      <c r="H19" s="9">
        <v>21.730121884753572</v>
      </c>
      <c r="I19" s="9">
        <v>21.783408248920338</v>
      </c>
      <c r="J19" s="29">
        <v>21.17322817255916</v>
      </c>
      <c r="K19" s="9">
        <v>21.427614576788812</v>
      </c>
      <c r="L19" s="9">
        <v>21.778920788522608</v>
      </c>
      <c r="M19" s="9">
        <v>21.434933657542114</v>
      </c>
      <c r="N19" s="9">
        <v>20.813748291116273</v>
      </c>
      <c r="O19" s="9">
        <v>20.688680283521098</v>
      </c>
      <c r="P19" s="9">
        <v>21.009499704186478</v>
      </c>
    </row>
    <row r="20" spans="1:16">
      <c r="A20" s="26">
        <v>19</v>
      </c>
      <c r="B20" s="9">
        <v>22.295207016920418</v>
      </c>
      <c r="C20" s="9">
        <v>22.324027700209413</v>
      </c>
      <c r="D20" s="9">
        <v>22.167975541193407</v>
      </c>
      <c r="E20" s="9">
        <v>22.838175395946646</v>
      </c>
      <c r="F20" s="9">
        <v>23.277036236651817</v>
      </c>
      <c r="G20" s="9">
        <v>23.211955648972403</v>
      </c>
      <c r="H20" s="9">
        <v>23.637248161284699</v>
      </c>
      <c r="I20" s="9">
        <v>24.48424769761542</v>
      </c>
      <c r="J20" s="29">
        <v>24.600177421542373</v>
      </c>
      <c r="K20" s="9">
        <v>24.349344406124708</v>
      </c>
      <c r="L20" s="9">
        <v>24.627553632286766</v>
      </c>
      <c r="M20" s="9">
        <v>24.25800557895662</v>
      </c>
      <c r="N20" s="9">
        <v>24.713281756193222</v>
      </c>
      <c r="O20" s="9">
        <v>25.595074314680954</v>
      </c>
      <c r="P20" s="9">
        <v>26.239926736347414</v>
      </c>
    </row>
    <row r="21" spans="1:16">
      <c r="A21" s="26">
        <v>20</v>
      </c>
      <c r="B21" s="9">
        <v>21.894721134676832</v>
      </c>
      <c r="C21" s="9">
        <v>22.492336560015179</v>
      </c>
      <c r="D21" s="9">
        <v>21.839397712795265</v>
      </c>
      <c r="E21" s="9">
        <v>21.818878300348793</v>
      </c>
      <c r="F21" s="9">
        <v>21.820046885382514</v>
      </c>
      <c r="G21" s="9">
        <v>21.644519000249076</v>
      </c>
      <c r="H21" s="9">
        <v>22.086031503314455</v>
      </c>
      <c r="I21" s="9">
        <v>21.749967916884884</v>
      </c>
      <c r="J21" s="29">
        <v>22.335731024108973</v>
      </c>
      <c r="K21" s="9">
        <v>22.219246485115281</v>
      </c>
      <c r="L21" s="9">
        <v>21.829018662746286</v>
      </c>
      <c r="M21" s="9">
        <v>21.18634739700715</v>
      </c>
      <c r="N21" s="9">
        <v>21.012587742598367</v>
      </c>
      <c r="O21" s="9">
        <v>20.832247594900096</v>
      </c>
      <c r="P21" s="9">
        <v>21.408407994412329</v>
      </c>
    </row>
    <row r="22" spans="1:16">
      <c r="A22" s="26">
        <v>21</v>
      </c>
      <c r="B22" s="9">
        <v>21.430811230407347</v>
      </c>
      <c r="C22" s="9">
        <v>21.453596757916383</v>
      </c>
      <c r="D22" s="9">
        <v>21.461074181037148</v>
      </c>
      <c r="E22" s="9">
        <v>21.625392577797108</v>
      </c>
      <c r="F22" s="9">
        <v>22.146090781992694</v>
      </c>
      <c r="G22" s="9">
        <v>21.854906594057368</v>
      </c>
      <c r="H22" s="9">
        <v>21.197666613416192</v>
      </c>
      <c r="I22" s="9">
        <v>21.524586184966033</v>
      </c>
      <c r="J22" s="29">
        <v>21.626776971858039</v>
      </c>
      <c r="K22" s="9">
        <v>21.180479399298139</v>
      </c>
      <c r="L22" s="9">
        <v>21.200953880175966</v>
      </c>
      <c r="M22" s="9">
        <v>21.583082930770765</v>
      </c>
      <c r="N22" s="9">
        <v>22.202264178379519</v>
      </c>
      <c r="O22" s="9">
        <v>22.456265278136016</v>
      </c>
      <c r="P22" s="9">
        <v>22.688385103013314</v>
      </c>
    </row>
    <row r="23" spans="1:16">
      <c r="A23" s="26">
        <v>22</v>
      </c>
      <c r="B23" s="9">
        <v>22.43859776823771</v>
      </c>
      <c r="C23" s="9">
        <v>22.5222604271334</v>
      </c>
      <c r="D23" s="9">
        <v>22.767240161701931</v>
      </c>
      <c r="E23" s="9">
        <v>23.165745466874093</v>
      </c>
      <c r="F23" s="9">
        <v>22.65931908078371</v>
      </c>
      <c r="G23" s="9">
        <v>23.631829011920409</v>
      </c>
      <c r="H23" s="9">
        <v>24.249601709412033</v>
      </c>
      <c r="I23" s="9">
        <v>23.560097772854341</v>
      </c>
      <c r="J23" s="29">
        <v>23.9829977603376</v>
      </c>
      <c r="K23" s="9">
        <v>22.893335142604844</v>
      </c>
      <c r="L23" s="9">
        <v>23.451699921399634</v>
      </c>
      <c r="M23" s="9">
        <v>23.778168967063621</v>
      </c>
      <c r="N23" s="9">
        <v>23.603574433195114</v>
      </c>
      <c r="O23" s="9">
        <v>23.224732028227532</v>
      </c>
      <c r="P23" s="9">
        <v>23.30238962207531</v>
      </c>
    </row>
    <row r="24" spans="1:16">
      <c r="A24" s="26">
        <v>23</v>
      </c>
      <c r="B24" s="9">
        <v>22.185038680589919</v>
      </c>
      <c r="C24" s="9">
        <v>21.747793525074258</v>
      </c>
      <c r="D24" s="9">
        <v>21.882367869945764</v>
      </c>
      <c r="E24" s="9">
        <v>22.046656394811546</v>
      </c>
      <c r="F24" s="9">
        <v>22.014353965568326</v>
      </c>
      <c r="G24" s="9">
        <v>22.058203182546471</v>
      </c>
      <c r="H24" s="9">
        <v>22.14702739975273</v>
      </c>
      <c r="I24" s="9">
        <v>22.285063245461057</v>
      </c>
      <c r="J24" s="29">
        <v>22.235756758858216</v>
      </c>
      <c r="K24" s="9">
        <v>21.728665329283281</v>
      </c>
      <c r="L24" s="9">
        <v>21.20592692785786</v>
      </c>
      <c r="M24" s="9">
        <v>20.852378109609781</v>
      </c>
      <c r="N24" s="9">
        <v>21.298659040201692</v>
      </c>
      <c r="O24" s="9">
        <v>21.068450548692748</v>
      </c>
      <c r="P24" s="9">
        <v>21.208524647826632</v>
      </c>
    </row>
    <row r="25" spans="1:16">
      <c r="A25" s="26">
        <v>24</v>
      </c>
      <c r="B25" s="9">
        <v>22.063231562533247</v>
      </c>
      <c r="C25" s="9">
        <v>22.607360869464173</v>
      </c>
      <c r="D25" s="9">
        <v>24.102106822289326</v>
      </c>
      <c r="E25" s="9">
        <v>24.868719899045669</v>
      </c>
      <c r="F25" s="9">
        <v>25.151632255351647</v>
      </c>
      <c r="G25" s="9">
        <v>24.894400283351974</v>
      </c>
      <c r="H25" s="9">
        <v>24.352943363083003</v>
      </c>
      <c r="I25" s="9">
        <v>24.702805925456389</v>
      </c>
      <c r="J25" s="29">
        <v>24.703677223111942</v>
      </c>
      <c r="K25" s="9">
        <v>24.60814738676752</v>
      </c>
      <c r="L25" s="9">
        <v>25.197974527855607</v>
      </c>
      <c r="M25" s="9">
        <v>24.975852875046101</v>
      </c>
      <c r="N25" s="9">
        <v>24.782449021478136</v>
      </c>
      <c r="O25" s="9">
        <v>24.843459739061107</v>
      </c>
      <c r="P25" s="9">
        <v>24.874280225053266</v>
      </c>
    </row>
    <row r="26" spans="1:16">
      <c r="A26" s="26">
        <v>25</v>
      </c>
      <c r="B26" s="9">
        <v>21.558671445401441</v>
      </c>
      <c r="C26" s="9">
        <v>22.213565127330362</v>
      </c>
      <c r="D26" s="9">
        <v>22.126738659678665</v>
      </c>
      <c r="E26" s="9">
        <v>22.43480698173865</v>
      </c>
      <c r="F26" s="9">
        <v>22.487498412194896</v>
      </c>
      <c r="G26" s="9">
        <v>22.801854201102241</v>
      </c>
      <c r="H26" s="9">
        <v>22.744687991468563</v>
      </c>
      <c r="I26" s="9">
        <v>22.653206074117925</v>
      </c>
      <c r="J26" s="29">
        <v>22.205040780398033</v>
      </c>
      <c r="K26" s="9">
        <v>22.25123265207603</v>
      </c>
      <c r="L26" s="9">
        <v>22.367576269794199</v>
      </c>
      <c r="M26" s="9">
        <v>21.52784475963826</v>
      </c>
      <c r="N26" s="9">
        <v>21.887893839054581</v>
      </c>
      <c r="O26" s="9">
        <v>21.930618579674828</v>
      </c>
      <c r="P26" s="9">
        <v>22.206188483139425</v>
      </c>
    </row>
    <row r="27" spans="1:16">
      <c r="A27" s="26">
        <v>26</v>
      </c>
      <c r="B27" s="9">
        <v>21.726877103719634</v>
      </c>
      <c r="C27" s="9">
        <v>22.604064448137123</v>
      </c>
      <c r="D27" s="9">
        <v>22.89369565227106</v>
      </c>
      <c r="E27" s="9">
        <v>22.692097633390869</v>
      </c>
      <c r="F27" s="9">
        <v>22.842903685179117</v>
      </c>
      <c r="G27" s="9">
        <v>22.748840599785641</v>
      </c>
      <c r="H27" s="9">
        <v>23.370866881851601</v>
      </c>
      <c r="I27" s="9">
        <v>23.557768372482403</v>
      </c>
      <c r="J27" s="29">
        <v>24.557063788989375</v>
      </c>
      <c r="K27" s="9">
        <v>25.052506625695738</v>
      </c>
      <c r="L27" s="9">
        <v>25.480291718219924</v>
      </c>
      <c r="M27" s="9">
        <v>25.90737035134557</v>
      </c>
      <c r="N27" s="9">
        <v>25.885793230686875</v>
      </c>
      <c r="O27" s="9">
        <v>26.128707699523503</v>
      </c>
      <c r="P27" s="9">
        <v>26.513737862436955</v>
      </c>
    </row>
    <row r="28" spans="1:16">
      <c r="A28" s="26">
        <v>27</v>
      </c>
      <c r="B28" s="9">
        <v>21.640712373505394</v>
      </c>
      <c r="C28" s="9">
        <v>22.134977869682565</v>
      </c>
      <c r="D28" s="9">
        <v>22.089761655455817</v>
      </c>
      <c r="E28" s="9">
        <v>22.646339986114338</v>
      </c>
      <c r="F28" s="9">
        <v>22.687199781302496</v>
      </c>
      <c r="G28" s="9">
        <v>23.199775252419489</v>
      </c>
      <c r="H28" s="9">
        <v>23.625987374081024</v>
      </c>
      <c r="I28" s="9">
        <v>23.42902851599159</v>
      </c>
      <c r="J28" s="29">
        <v>23.048922373855252</v>
      </c>
      <c r="K28" s="9">
        <v>22.77135997272066</v>
      </c>
      <c r="L28" s="9">
        <v>22.346025662731648</v>
      </c>
      <c r="M28" s="9">
        <v>23.043359541408972</v>
      </c>
      <c r="N28" s="9">
        <v>23.39668471828513</v>
      </c>
      <c r="O28" s="9">
        <v>23.407067515624657</v>
      </c>
      <c r="P28" s="9">
        <v>24.134991565434568</v>
      </c>
    </row>
    <row r="29" spans="1:16">
      <c r="A29" s="26">
        <v>28</v>
      </c>
      <c r="B29" s="9">
        <v>21.975001518198901</v>
      </c>
      <c r="C29" s="9">
        <v>21.571867648720055</v>
      </c>
      <c r="D29" s="9">
        <v>22.472052345693974</v>
      </c>
      <c r="E29" s="9">
        <v>22.214740023107026</v>
      </c>
      <c r="F29" s="9">
        <v>21.926181324002528</v>
      </c>
      <c r="G29" s="9">
        <v>21.512887065606964</v>
      </c>
      <c r="H29" s="9">
        <v>21.572065303150318</v>
      </c>
      <c r="I29" s="9">
        <v>22.110864271081667</v>
      </c>
      <c r="J29" s="29">
        <v>21.803097627364838</v>
      </c>
      <c r="K29" s="9">
        <v>22.046472346554417</v>
      </c>
      <c r="L29" s="9">
        <v>22.521039021757577</v>
      </c>
      <c r="M29" s="9">
        <v>22.136327938754441</v>
      </c>
      <c r="N29" s="9">
        <v>22.811699792746978</v>
      </c>
      <c r="O29" s="9">
        <v>22.259620347368486</v>
      </c>
      <c r="P29" s="9">
        <v>22.025735098682805</v>
      </c>
    </row>
    <row r="30" spans="1:16">
      <c r="A30" s="26">
        <v>29</v>
      </c>
      <c r="B30" s="9">
        <v>21.954354595551948</v>
      </c>
      <c r="C30" s="9">
        <v>22.716052512116523</v>
      </c>
      <c r="D30" s="9">
        <v>22.62735384018124</v>
      </c>
      <c r="E30" s="9">
        <v>22.918960553266174</v>
      </c>
      <c r="F30" s="9">
        <v>23.920892256584736</v>
      </c>
      <c r="G30" s="9">
        <v>23.061207139878473</v>
      </c>
      <c r="H30" s="9">
        <v>23.300101208393897</v>
      </c>
      <c r="I30" s="9">
        <v>23.204815300820101</v>
      </c>
      <c r="J30" s="29">
        <v>23.916213076183258</v>
      </c>
      <c r="K30" s="9">
        <v>24.267950495645096</v>
      </c>
      <c r="L30" s="9">
        <v>24.469280367819902</v>
      </c>
      <c r="M30" s="9">
        <v>24.702715587850651</v>
      </c>
      <c r="N30" s="9">
        <v>25.207641405859786</v>
      </c>
      <c r="O30" s="9">
        <v>24.87801880889176</v>
      </c>
      <c r="P30" s="9">
        <v>25.443834946095027</v>
      </c>
    </row>
    <row r="31" spans="1:16">
      <c r="A31" s="26">
        <v>30</v>
      </c>
      <c r="B31" s="9">
        <v>21.841861580973909</v>
      </c>
      <c r="C31" s="9">
        <v>22.847320163867391</v>
      </c>
      <c r="D31" s="9">
        <v>22.451896454893902</v>
      </c>
      <c r="E31" s="9">
        <v>22.413343503972108</v>
      </c>
      <c r="F31" s="9">
        <v>23.30492301959643</v>
      </c>
      <c r="G31" s="9">
        <v>23.60905630760103</v>
      </c>
      <c r="H31" s="9">
        <v>24.36636675115717</v>
      </c>
      <c r="I31" s="9">
        <v>24.320759014602061</v>
      </c>
      <c r="J31" s="29">
        <v>24.368211670533</v>
      </c>
      <c r="K31" s="9">
        <v>24.483330855562343</v>
      </c>
      <c r="L31" s="9">
        <v>25.137489980548033</v>
      </c>
      <c r="M31" s="9">
        <v>25.174950795465961</v>
      </c>
      <c r="N31" s="9">
        <v>24.804416618253548</v>
      </c>
      <c r="O31" s="9">
        <v>24.481870999937325</v>
      </c>
      <c r="P31" s="9">
        <v>25.622044875569834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Data</vt:lpstr>
      <vt:lpstr>Statistics</vt:lpstr>
      <vt:lpstr>SCIB</vt:lpstr>
      <vt:lpstr>Matrix Z</vt:lpstr>
      <vt:lpstr>PS</vt:lpstr>
      <vt:lpstr>KCE</vt:lpstr>
      <vt:lpstr>CPF</vt:lpstr>
      <vt:lpstr>TPIP</vt:lpstr>
      <vt:lpstr>TCAP</vt:lpstr>
      <vt:lpstr>CholInx</vt:lpstr>
      <vt:lpstr>cholRange</vt:lpstr>
      <vt:lpstr>CorrInx</vt:lpstr>
      <vt:lpstr>corrRange</vt:lpstr>
      <vt:lpstr>CovarInx</vt:lpstr>
      <vt:lpstr>covRange</vt:lpstr>
      <vt:lpstr>DateInx</vt:lpstr>
      <vt:lpstr>firstObs</vt:lpstr>
      <vt:lpstr>initInvest</vt:lpstr>
      <vt:lpstr>MatZ</vt:lpstr>
      <vt:lpstr>mean</vt:lpstr>
      <vt:lpstr>means</vt:lpstr>
      <vt:lpstr>nLoop</vt:lpstr>
      <vt:lpstr>NumAsset</vt:lpstr>
      <vt:lpstr>NumPeriod</vt:lpstr>
      <vt:lpstr>NumSim</vt:lpstr>
      <vt:lpstr>PLInx</vt:lpstr>
      <vt:lpstr>portRet</vt:lpstr>
      <vt:lpstr>portStd</vt:lpstr>
      <vt:lpstr>PriceInx</vt:lpstr>
      <vt:lpstr>ReturnInx</vt:lpstr>
      <vt:lpstr>returnRange</vt:lpstr>
      <vt:lpstr>RF</vt:lpstr>
      <vt:lpstr>SceneINx</vt:lpstr>
      <vt:lpstr>SCIB_MUE</vt:lpstr>
      <vt:lpstr>SCIB_S0</vt:lpstr>
      <vt:lpstr>SCIB_SIGMA</vt:lpstr>
      <vt:lpstr>sharpe</vt:lpstr>
      <vt:lpstr>statRange</vt:lpstr>
      <vt:lpstr>std</vt:lpstr>
      <vt:lpstr>totCap</vt:lpstr>
      <vt:lpstr>UnitInx</vt:lpstr>
      <vt:lpstr>VaR</vt:lpstr>
      <vt:lpstr>vol</vt:lpstr>
      <vt:lpstr>weightInx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Siraprapa Watakit</dc:creator>
  <cp:lastModifiedBy>Siraprapa Watakit</cp:lastModifiedBy>
  <cp:lastPrinted>2014-09-19T23:25:25Z</cp:lastPrinted>
  <dcterms:created xsi:type="dcterms:W3CDTF">1996-10-14T23:33:28Z</dcterms:created>
  <dcterms:modified xsi:type="dcterms:W3CDTF">2014-09-20T18:28:58Z</dcterms:modified>
</cp:coreProperties>
</file>