
<file path=[Content_Types].xml><?xml version="1.0" encoding="utf-8"?>
<Types xmlns="http://schemas.openxmlformats.org/package/2006/content-types">
  <Default Extension="bin" ContentType="application/vnd.openxmlformats-officedocument.oleOb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charts/chart2.xml" ContentType="application/vnd.openxmlformats-officedocument.drawingml.chart+xml"/>
  <Default Extension="emf" ContentType="image/x-emf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120" yWindow="135" windowWidth="15255" windowHeight="7650" activeTab="1"/>
  </bookViews>
  <sheets>
    <sheet name="Stock Price Simulation" sheetId="1" r:id="rId1"/>
    <sheet name="Interest Rate Simulation" sheetId="2" r:id="rId2"/>
    <sheet name="Output" sheetId="5" r:id="rId3"/>
    <sheet name="OutputInt" sheetId="7" r:id="rId4"/>
    <sheet name="Multiple Assets" sheetId="4" r:id="rId5"/>
    <sheet name="Macro1" sheetId="6" r:id="rId6"/>
  </sheets>
  <calcPr calcId="125725"/>
</workbook>
</file>

<file path=xl/calcChain.xml><?xml version="1.0" encoding="utf-8"?>
<calcChain xmlns="http://schemas.openxmlformats.org/spreadsheetml/2006/main">
  <c r="C115" i="2"/>
  <c r="AP23" i="4"/>
  <c r="AO23"/>
  <c r="AN23"/>
  <c r="AM23"/>
  <c r="AL23"/>
  <c r="AK23"/>
  <c r="AJ23"/>
  <c r="AI23"/>
  <c r="AH23"/>
  <c r="AG23"/>
  <c r="AF23"/>
  <c r="AE23"/>
  <c r="C23" s="1"/>
  <c r="AP22"/>
  <c r="AO22"/>
  <c r="AN22"/>
  <c r="AM22"/>
  <c r="AL22"/>
  <c r="AK22"/>
  <c r="AJ22"/>
  <c r="AI22"/>
  <c r="AH22"/>
  <c r="AG22"/>
  <c r="AF22"/>
  <c r="AE22"/>
  <c r="C22" s="1"/>
  <c r="AP21"/>
  <c r="AO21"/>
  <c r="AN21"/>
  <c r="AM21"/>
  <c r="AL21"/>
  <c r="AK21"/>
  <c r="AJ21"/>
  <c r="AI21"/>
  <c r="AH21"/>
  <c r="AG21"/>
  <c r="AF21"/>
  <c r="AE21"/>
  <c r="C21" s="1"/>
  <c r="AP20"/>
  <c r="AO20"/>
  <c r="AN20"/>
  <c r="AM20"/>
  <c r="AL20"/>
  <c r="AK20"/>
  <c r="AJ20"/>
  <c r="AI20"/>
  <c r="AH20"/>
  <c r="AG20"/>
  <c r="AF20"/>
  <c r="AE20"/>
  <c r="C20" s="1"/>
  <c r="AP19"/>
  <c r="AO19"/>
  <c r="AN19"/>
  <c r="AM19"/>
  <c r="AL19"/>
  <c r="AK19"/>
  <c r="AJ19"/>
  <c r="AI19"/>
  <c r="AH19"/>
  <c r="AG19"/>
  <c r="AF19"/>
  <c r="AE19"/>
  <c r="C19" s="1"/>
  <c r="AP18"/>
  <c r="AO18"/>
  <c r="AN18"/>
  <c r="AM18"/>
  <c r="AL18"/>
  <c r="AK18"/>
  <c r="AJ18"/>
  <c r="AI18"/>
  <c r="AH18"/>
  <c r="AG18"/>
  <c r="AF18"/>
  <c r="AE18"/>
  <c r="C18" s="1"/>
  <c r="AP17"/>
  <c r="AO17"/>
  <c r="AN17"/>
  <c r="AM17"/>
  <c r="AL17"/>
  <c r="AK17"/>
  <c r="AJ17"/>
  <c r="AI17"/>
  <c r="AH17"/>
  <c r="AG17"/>
  <c r="AF17"/>
  <c r="AE17"/>
  <c r="C17" s="1"/>
  <c r="AP16"/>
  <c r="AO16"/>
  <c r="AN16"/>
  <c r="AM16"/>
  <c r="AL16"/>
  <c r="AK16"/>
  <c r="AJ16"/>
  <c r="AI16"/>
  <c r="AH16"/>
  <c r="AG16"/>
  <c r="AF16"/>
  <c r="AE16"/>
  <c r="C16" s="1"/>
  <c r="AP15"/>
  <c r="AO15"/>
  <c r="AN15"/>
  <c r="AM15"/>
  <c r="AL15"/>
  <c r="AK15"/>
  <c r="AJ15"/>
  <c r="AI15"/>
  <c r="AH15"/>
  <c r="AG15"/>
  <c r="AF15"/>
  <c r="AE15"/>
  <c r="C15" s="1"/>
  <c r="AP14"/>
  <c r="AO14"/>
  <c r="AN14"/>
  <c r="AM14"/>
  <c r="AL14"/>
  <c r="AK14"/>
  <c r="AJ14"/>
  <c r="AI14"/>
  <c r="AH14"/>
  <c r="AG14"/>
  <c r="AF14"/>
  <c r="AE14"/>
  <c r="C14" s="1"/>
  <c r="AP13"/>
  <c r="AO13"/>
  <c r="AN13"/>
  <c r="AM13"/>
  <c r="AL13"/>
  <c r="AK13"/>
  <c r="AJ13"/>
  <c r="AI13"/>
  <c r="AH13"/>
  <c r="AG13"/>
  <c r="AF13"/>
  <c r="AE13"/>
  <c r="C13" s="1"/>
  <c r="AP12"/>
  <c r="AO12"/>
  <c r="AN12"/>
  <c r="AM12"/>
  <c r="AL12"/>
  <c r="AK12"/>
  <c r="AJ12"/>
  <c r="AI12"/>
  <c r="AH12"/>
  <c r="AG12"/>
  <c r="AF12"/>
  <c r="AE12"/>
  <c r="C12" s="1"/>
  <c r="AP11"/>
  <c r="AO11"/>
  <c r="AN11"/>
  <c r="AM11"/>
  <c r="AL11"/>
  <c r="AK11"/>
  <c r="AJ11"/>
  <c r="AI11"/>
  <c r="AH11"/>
  <c r="AG11"/>
  <c r="AF11"/>
  <c r="AE11"/>
  <c r="C11" s="1"/>
  <c r="AP10"/>
  <c r="AO10"/>
  <c r="AN10"/>
  <c r="AM10"/>
  <c r="AL10"/>
  <c r="AK10"/>
  <c r="AJ10"/>
  <c r="AI10"/>
  <c r="AH10"/>
  <c r="AG10"/>
  <c r="AF10"/>
  <c r="AE10"/>
  <c r="C10" s="1"/>
  <c r="AP9"/>
  <c r="AO9"/>
  <c r="AN9"/>
  <c r="AM9"/>
  <c r="AL9"/>
  <c r="AK9"/>
  <c r="AJ9"/>
  <c r="AI9"/>
  <c r="AH9"/>
  <c r="AG9"/>
  <c r="AF9"/>
  <c r="AE9"/>
  <c r="C9" s="1"/>
  <c r="AP8"/>
  <c r="AO8"/>
  <c r="AN8"/>
  <c r="AM8"/>
  <c r="AL8"/>
  <c r="AK8"/>
  <c r="AJ8"/>
  <c r="AI8"/>
  <c r="AH8"/>
  <c r="AG8"/>
  <c r="AF8"/>
  <c r="AE8"/>
  <c r="Q23"/>
  <c r="Q22"/>
  <c r="Q21"/>
  <c r="Q20"/>
  <c r="Q19"/>
  <c r="Q18"/>
  <c r="Q17"/>
  <c r="Q16"/>
  <c r="Q15"/>
  <c r="Q14"/>
  <c r="Q13"/>
  <c r="Q12"/>
  <c r="Q11"/>
  <c r="Q10"/>
  <c r="Q9"/>
  <c r="Q8"/>
  <c r="B23"/>
  <c r="B22"/>
  <c r="B21"/>
  <c r="B20"/>
  <c r="B19"/>
  <c r="B18"/>
  <c r="B17"/>
  <c r="B16"/>
  <c r="B15"/>
  <c r="B14"/>
  <c r="B13"/>
  <c r="B12"/>
  <c r="B11"/>
  <c r="B10"/>
  <c r="B9"/>
  <c r="C10" i="1"/>
  <c r="B8" i="4"/>
  <c r="C4"/>
  <c r="B4"/>
  <c r="C214" i="2"/>
  <c r="D214" s="1"/>
  <c r="E214" s="1"/>
  <c r="F214" s="1"/>
  <c r="G214" s="1"/>
  <c r="H214" s="1"/>
  <c r="I214" s="1"/>
  <c r="J214" s="1"/>
  <c r="K214" s="1"/>
  <c r="L214" s="1"/>
  <c r="M214" s="1"/>
  <c r="N214" s="1"/>
  <c r="C213"/>
  <c r="D213" s="1"/>
  <c r="E213" s="1"/>
  <c r="F213" s="1"/>
  <c r="G213" s="1"/>
  <c r="H213" s="1"/>
  <c r="I213" s="1"/>
  <c r="J213" s="1"/>
  <c r="K213" s="1"/>
  <c r="L213" s="1"/>
  <c r="M213" s="1"/>
  <c r="N213" s="1"/>
  <c r="C212"/>
  <c r="D212" s="1"/>
  <c r="E212" s="1"/>
  <c r="F212" s="1"/>
  <c r="G212" s="1"/>
  <c r="H212" s="1"/>
  <c r="I212" s="1"/>
  <c r="J212" s="1"/>
  <c r="K212" s="1"/>
  <c r="L212" s="1"/>
  <c r="M212" s="1"/>
  <c r="N212" s="1"/>
  <c r="C211"/>
  <c r="D211" s="1"/>
  <c r="E211" s="1"/>
  <c r="F211" s="1"/>
  <c r="G211" s="1"/>
  <c r="H211" s="1"/>
  <c r="I211" s="1"/>
  <c r="J211" s="1"/>
  <c r="K211" s="1"/>
  <c r="L211" s="1"/>
  <c r="M211" s="1"/>
  <c r="N211" s="1"/>
  <c r="C210"/>
  <c r="D210" s="1"/>
  <c r="E210" s="1"/>
  <c r="F210" s="1"/>
  <c r="G210" s="1"/>
  <c r="H210" s="1"/>
  <c r="I210" s="1"/>
  <c r="J210" s="1"/>
  <c r="K210" s="1"/>
  <c r="L210" s="1"/>
  <c r="M210" s="1"/>
  <c r="N210" s="1"/>
  <c r="C209"/>
  <c r="D209" s="1"/>
  <c r="E209" s="1"/>
  <c r="F209" s="1"/>
  <c r="G209" s="1"/>
  <c r="H209" s="1"/>
  <c r="I209" s="1"/>
  <c r="J209" s="1"/>
  <c r="K209" s="1"/>
  <c r="L209" s="1"/>
  <c r="M209" s="1"/>
  <c r="N209" s="1"/>
  <c r="C208"/>
  <c r="D208" s="1"/>
  <c r="E208" s="1"/>
  <c r="F208" s="1"/>
  <c r="G208" s="1"/>
  <c r="H208" s="1"/>
  <c r="I208" s="1"/>
  <c r="J208" s="1"/>
  <c r="K208" s="1"/>
  <c r="L208" s="1"/>
  <c r="M208" s="1"/>
  <c r="N208" s="1"/>
  <c r="C207"/>
  <c r="D207" s="1"/>
  <c r="E207" s="1"/>
  <c r="F207" s="1"/>
  <c r="G207" s="1"/>
  <c r="H207" s="1"/>
  <c r="I207" s="1"/>
  <c r="J207" s="1"/>
  <c r="K207" s="1"/>
  <c r="L207" s="1"/>
  <c r="M207" s="1"/>
  <c r="N207" s="1"/>
  <c r="C206"/>
  <c r="D206" s="1"/>
  <c r="E206" s="1"/>
  <c r="F206" s="1"/>
  <c r="G206" s="1"/>
  <c r="H206" s="1"/>
  <c r="I206" s="1"/>
  <c r="J206" s="1"/>
  <c r="K206" s="1"/>
  <c r="L206" s="1"/>
  <c r="M206" s="1"/>
  <c r="N206" s="1"/>
  <c r="C205"/>
  <c r="D205" s="1"/>
  <c r="E205" s="1"/>
  <c r="F205" s="1"/>
  <c r="G205" s="1"/>
  <c r="H205" s="1"/>
  <c r="I205" s="1"/>
  <c r="J205" s="1"/>
  <c r="K205" s="1"/>
  <c r="L205" s="1"/>
  <c r="M205" s="1"/>
  <c r="N205" s="1"/>
  <c r="C204"/>
  <c r="D204" s="1"/>
  <c r="E204" s="1"/>
  <c r="F204" s="1"/>
  <c r="G204" s="1"/>
  <c r="H204" s="1"/>
  <c r="I204" s="1"/>
  <c r="J204" s="1"/>
  <c r="K204" s="1"/>
  <c r="L204" s="1"/>
  <c r="M204" s="1"/>
  <c r="N204" s="1"/>
  <c r="C203"/>
  <c r="D203" s="1"/>
  <c r="E203" s="1"/>
  <c r="F203" s="1"/>
  <c r="G203" s="1"/>
  <c r="H203" s="1"/>
  <c r="I203" s="1"/>
  <c r="J203" s="1"/>
  <c r="K203" s="1"/>
  <c r="L203" s="1"/>
  <c r="M203" s="1"/>
  <c r="N203" s="1"/>
  <c r="C202"/>
  <c r="D202" s="1"/>
  <c r="E202" s="1"/>
  <c r="F202" s="1"/>
  <c r="G202" s="1"/>
  <c r="H202" s="1"/>
  <c r="I202" s="1"/>
  <c r="J202" s="1"/>
  <c r="K202" s="1"/>
  <c r="L202" s="1"/>
  <c r="M202" s="1"/>
  <c r="N202" s="1"/>
  <c r="C201"/>
  <c r="D201" s="1"/>
  <c r="E201" s="1"/>
  <c r="F201" s="1"/>
  <c r="G201" s="1"/>
  <c r="H201" s="1"/>
  <c r="I201" s="1"/>
  <c r="J201" s="1"/>
  <c r="K201" s="1"/>
  <c r="L201" s="1"/>
  <c r="M201" s="1"/>
  <c r="N201" s="1"/>
  <c r="C200"/>
  <c r="D200" s="1"/>
  <c r="E200" s="1"/>
  <c r="F200" s="1"/>
  <c r="G200" s="1"/>
  <c r="H200" s="1"/>
  <c r="I200" s="1"/>
  <c r="J200" s="1"/>
  <c r="K200" s="1"/>
  <c r="L200" s="1"/>
  <c r="M200" s="1"/>
  <c r="N200" s="1"/>
  <c r="C199"/>
  <c r="D199" s="1"/>
  <c r="E199" s="1"/>
  <c r="F199" s="1"/>
  <c r="G199" s="1"/>
  <c r="H199" s="1"/>
  <c r="I199" s="1"/>
  <c r="J199" s="1"/>
  <c r="K199" s="1"/>
  <c r="L199" s="1"/>
  <c r="M199" s="1"/>
  <c r="N199" s="1"/>
  <c r="C198"/>
  <c r="D198" s="1"/>
  <c r="E198" s="1"/>
  <c r="F198" s="1"/>
  <c r="G198" s="1"/>
  <c r="H198" s="1"/>
  <c r="I198" s="1"/>
  <c r="J198" s="1"/>
  <c r="K198" s="1"/>
  <c r="L198" s="1"/>
  <c r="M198" s="1"/>
  <c r="N198" s="1"/>
  <c r="C197"/>
  <c r="D197" s="1"/>
  <c r="E197" s="1"/>
  <c r="F197" s="1"/>
  <c r="G197" s="1"/>
  <c r="H197" s="1"/>
  <c r="I197" s="1"/>
  <c r="J197" s="1"/>
  <c r="K197" s="1"/>
  <c r="L197" s="1"/>
  <c r="M197" s="1"/>
  <c r="N197" s="1"/>
  <c r="C196"/>
  <c r="D196" s="1"/>
  <c r="E196" s="1"/>
  <c r="F196" s="1"/>
  <c r="G196" s="1"/>
  <c r="H196" s="1"/>
  <c r="I196" s="1"/>
  <c r="J196" s="1"/>
  <c r="K196" s="1"/>
  <c r="L196" s="1"/>
  <c r="M196" s="1"/>
  <c r="N196" s="1"/>
  <c r="C195"/>
  <c r="D195" s="1"/>
  <c r="E195" s="1"/>
  <c r="F195" s="1"/>
  <c r="G195" s="1"/>
  <c r="H195" s="1"/>
  <c r="I195" s="1"/>
  <c r="J195" s="1"/>
  <c r="K195" s="1"/>
  <c r="L195" s="1"/>
  <c r="M195" s="1"/>
  <c r="N195" s="1"/>
  <c r="C194"/>
  <c r="D194" s="1"/>
  <c r="E194" s="1"/>
  <c r="F194" s="1"/>
  <c r="G194" s="1"/>
  <c r="H194" s="1"/>
  <c r="I194" s="1"/>
  <c r="J194" s="1"/>
  <c r="K194" s="1"/>
  <c r="L194" s="1"/>
  <c r="M194" s="1"/>
  <c r="N194" s="1"/>
  <c r="C193"/>
  <c r="D193" s="1"/>
  <c r="E193" s="1"/>
  <c r="F193" s="1"/>
  <c r="G193" s="1"/>
  <c r="H193" s="1"/>
  <c r="I193" s="1"/>
  <c r="J193" s="1"/>
  <c r="K193" s="1"/>
  <c r="L193" s="1"/>
  <c r="M193" s="1"/>
  <c r="N193" s="1"/>
  <c r="C192"/>
  <c r="D192" s="1"/>
  <c r="E192" s="1"/>
  <c r="F192" s="1"/>
  <c r="G192" s="1"/>
  <c r="H192" s="1"/>
  <c r="I192" s="1"/>
  <c r="J192" s="1"/>
  <c r="K192" s="1"/>
  <c r="L192" s="1"/>
  <c r="M192" s="1"/>
  <c r="N192" s="1"/>
  <c r="C191"/>
  <c r="D191" s="1"/>
  <c r="E191" s="1"/>
  <c r="F191" s="1"/>
  <c r="G191" s="1"/>
  <c r="H191" s="1"/>
  <c r="I191" s="1"/>
  <c r="J191" s="1"/>
  <c r="K191" s="1"/>
  <c r="L191" s="1"/>
  <c r="M191" s="1"/>
  <c r="N191" s="1"/>
  <c r="C190"/>
  <c r="D190" s="1"/>
  <c r="E190" s="1"/>
  <c r="F190" s="1"/>
  <c r="G190" s="1"/>
  <c r="H190" s="1"/>
  <c r="I190" s="1"/>
  <c r="J190" s="1"/>
  <c r="K190" s="1"/>
  <c r="L190" s="1"/>
  <c r="M190" s="1"/>
  <c r="N190" s="1"/>
  <c r="C189"/>
  <c r="D189" s="1"/>
  <c r="E189" s="1"/>
  <c r="F189" s="1"/>
  <c r="G189" s="1"/>
  <c r="H189" s="1"/>
  <c r="I189" s="1"/>
  <c r="J189" s="1"/>
  <c r="K189" s="1"/>
  <c r="L189" s="1"/>
  <c r="M189" s="1"/>
  <c r="N189" s="1"/>
  <c r="C188"/>
  <c r="D188" s="1"/>
  <c r="E188" s="1"/>
  <c r="F188" s="1"/>
  <c r="G188" s="1"/>
  <c r="H188" s="1"/>
  <c r="I188" s="1"/>
  <c r="J188" s="1"/>
  <c r="K188" s="1"/>
  <c r="L188" s="1"/>
  <c r="M188" s="1"/>
  <c r="N188" s="1"/>
  <c r="C187"/>
  <c r="D187" s="1"/>
  <c r="E187" s="1"/>
  <c r="F187" s="1"/>
  <c r="G187" s="1"/>
  <c r="H187" s="1"/>
  <c r="I187" s="1"/>
  <c r="J187" s="1"/>
  <c r="K187" s="1"/>
  <c r="L187" s="1"/>
  <c r="M187" s="1"/>
  <c r="N187" s="1"/>
  <c r="C186"/>
  <c r="D186" s="1"/>
  <c r="E186" s="1"/>
  <c r="F186" s="1"/>
  <c r="G186" s="1"/>
  <c r="H186" s="1"/>
  <c r="I186" s="1"/>
  <c r="J186" s="1"/>
  <c r="K186" s="1"/>
  <c r="L186" s="1"/>
  <c r="M186" s="1"/>
  <c r="N186" s="1"/>
  <c r="C185"/>
  <c r="D185" s="1"/>
  <c r="E185" s="1"/>
  <c r="F185" s="1"/>
  <c r="G185" s="1"/>
  <c r="H185" s="1"/>
  <c r="I185" s="1"/>
  <c r="J185" s="1"/>
  <c r="K185" s="1"/>
  <c r="L185" s="1"/>
  <c r="M185" s="1"/>
  <c r="N185" s="1"/>
  <c r="C184"/>
  <c r="D184" s="1"/>
  <c r="E184" s="1"/>
  <c r="F184" s="1"/>
  <c r="G184" s="1"/>
  <c r="H184" s="1"/>
  <c r="I184" s="1"/>
  <c r="J184" s="1"/>
  <c r="K184" s="1"/>
  <c r="L184" s="1"/>
  <c r="M184" s="1"/>
  <c r="N184" s="1"/>
  <c r="C183"/>
  <c r="D183" s="1"/>
  <c r="E183" s="1"/>
  <c r="F183" s="1"/>
  <c r="G183" s="1"/>
  <c r="H183" s="1"/>
  <c r="I183" s="1"/>
  <c r="J183" s="1"/>
  <c r="K183" s="1"/>
  <c r="L183" s="1"/>
  <c r="M183" s="1"/>
  <c r="N183" s="1"/>
  <c r="C182"/>
  <c r="D182" s="1"/>
  <c r="E182" s="1"/>
  <c r="F182" s="1"/>
  <c r="G182" s="1"/>
  <c r="H182" s="1"/>
  <c r="I182" s="1"/>
  <c r="J182" s="1"/>
  <c r="K182" s="1"/>
  <c r="L182" s="1"/>
  <c r="M182" s="1"/>
  <c r="N182" s="1"/>
  <c r="C181"/>
  <c r="D181" s="1"/>
  <c r="E181" s="1"/>
  <c r="F181" s="1"/>
  <c r="G181" s="1"/>
  <c r="H181" s="1"/>
  <c r="I181" s="1"/>
  <c r="J181" s="1"/>
  <c r="K181" s="1"/>
  <c r="L181" s="1"/>
  <c r="M181" s="1"/>
  <c r="N181" s="1"/>
  <c r="C180"/>
  <c r="D180" s="1"/>
  <c r="E180" s="1"/>
  <c r="F180" s="1"/>
  <c r="G180" s="1"/>
  <c r="H180" s="1"/>
  <c r="I180" s="1"/>
  <c r="J180" s="1"/>
  <c r="K180" s="1"/>
  <c r="L180" s="1"/>
  <c r="M180" s="1"/>
  <c r="N180" s="1"/>
  <c r="C179"/>
  <c r="D179" s="1"/>
  <c r="E179" s="1"/>
  <c r="F179" s="1"/>
  <c r="G179" s="1"/>
  <c r="H179" s="1"/>
  <c r="I179" s="1"/>
  <c r="J179" s="1"/>
  <c r="K179" s="1"/>
  <c r="L179" s="1"/>
  <c r="M179" s="1"/>
  <c r="N179" s="1"/>
  <c r="C178"/>
  <c r="D178" s="1"/>
  <c r="E178" s="1"/>
  <c r="F178" s="1"/>
  <c r="G178" s="1"/>
  <c r="H178" s="1"/>
  <c r="I178" s="1"/>
  <c r="J178" s="1"/>
  <c r="K178" s="1"/>
  <c r="L178" s="1"/>
  <c r="M178" s="1"/>
  <c r="N178" s="1"/>
  <c r="C177"/>
  <c r="D177" s="1"/>
  <c r="E177" s="1"/>
  <c r="F177" s="1"/>
  <c r="G177" s="1"/>
  <c r="H177" s="1"/>
  <c r="I177" s="1"/>
  <c r="J177" s="1"/>
  <c r="K177" s="1"/>
  <c r="L177" s="1"/>
  <c r="M177" s="1"/>
  <c r="N177" s="1"/>
  <c r="C176"/>
  <c r="D176" s="1"/>
  <c r="E176" s="1"/>
  <c r="F176" s="1"/>
  <c r="G176" s="1"/>
  <c r="H176" s="1"/>
  <c r="I176" s="1"/>
  <c r="J176" s="1"/>
  <c r="K176" s="1"/>
  <c r="L176" s="1"/>
  <c r="M176" s="1"/>
  <c r="N176" s="1"/>
  <c r="C175"/>
  <c r="D175" s="1"/>
  <c r="E175" s="1"/>
  <c r="F175" s="1"/>
  <c r="G175" s="1"/>
  <c r="H175" s="1"/>
  <c r="I175" s="1"/>
  <c r="J175" s="1"/>
  <c r="K175" s="1"/>
  <c r="L175" s="1"/>
  <c r="M175" s="1"/>
  <c r="N175" s="1"/>
  <c r="C174"/>
  <c r="D174" s="1"/>
  <c r="E174" s="1"/>
  <c r="F174" s="1"/>
  <c r="G174" s="1"/>
  <c r="H174" s="1"/>
  <c r="I174" s="1"/>
  <c r="J174" s="1"/>
  <c r="K174" s="1"/>
  <c r="L174" s="1"/>
  <c r="M174" s="1"/>
  <c r="N174" s="1"/>
  <c r="C173"/>
  <c r="D173" s="1"/>
  <c r="E173" s="1"/>
  <c r="F173" s="1"/>
  <c r="G173" s="1"/>
  <c r="H173" s="1"/>
  <c r="I173" s="1"/>
  <c r="J173" s="1"/>
  <c r="K173" s="1"/>
  <c r="L173" s="1"/>
  <c r="M173" s="1"/>
  <c r="N173" s="1"/>
  <c r="C172"/>
  <c r="D172" s="1"/>
  <c r="E172" s="1"/>
  <c r="F172" s="1"/>
  <c r="G172" s="1"/>
  <c r="H172" s="1"/>
  <c r="I172" s="1"/>
  <c r="J172" s="1"/>
  <c r="K172" s="1"/>
  <c r="L172" s="1"/>
  <c r="M172" s="1"/>
  <c r="N172" s="1"/>
  <c r="C171"/>
  <c r="D171" s="1"/>
  <c r="E171" s="1"/>
  <c r="F171" s="1"/>
  <c r="G171" s="1"/>
  <c r="H171" s="1"/>
  <c r="I171" s="1"/>
  <c r="J171" s="1"/>
  <c r="K171" s="1"/>
  <c r="L171" s="1"/>
  <c r="M171" s="1"/>
  <c r="N171" s="1"/>
  <c r="C170"/>
  <c r="D170" s="1"/>
  <c r="E170" s="1"/>
  <c r="F170" s="1"/>
  <c r="G170" s="1"/>
  <c r="H170" s="1"/>
  <c r="I170" s="1"/>
  <c r="J170" s="1"/>
  <c r="K170" s="1"/>
  <c r="L170" s="1"/>
  <c r="M170" s="1"/>
  <c r="N170" s="1"/>
  <c r="C169"/>
  <c r="D169" s="1"/>
  <c r="E169" s="1"/>
  <c r="F169" s="1"/>
  <c r="G169" s="1"/>
  <c r="H169" s="1"/>
  <c r="I169" s="1"/>
  <c r="J169" s="1"/>
  <c r="K169" s="1"/>
  <c r="L169" s="1"/>
  <c r="M169" s="1"/>
  <c r="N169" s="1"/>
  <c r="C168"/>
  <c r="D168" s="1"/>
  <c r="E168" s="1"/>
  <c r="F168" s="1"/>
  <c r="G168" s="1"/>
  <c r="H168" s="1"/>
  <c r="I168" s="1"/>
  <c r="J168" s="1"/>
  <c r="K168" s="1"/>
  <c r="L168" s="1"/>
  <c r="M168" s="1"/>
  <c r="N168" s="1"/>
  <c r="C167"/>
  <c r="D167" s="1"/>
  <c r="E167" s="1"/>
  <c r="F167" s="1"/>
  <c r="G167" s="1"/>
  <c r="H167" s="1"/>
  <c r="I167" s="1"/>
  <c r="J167" s="1"/>
  <c r="K167" s="1"/>
  <c r="L167" s="1"/>
  <c r="M167" s="1"/>
  <c r="N167" s="1"/>
  <c r="C166"/>
  <c r="D166" s="1"/>
  <c r="E166" s="1"/>
  <c r="F166" s="1"/>
  <c r="G166" s="1"/>
  <c r="H166" s="1"/>
  <c r="I166" s="1"/>
  <c r="J166" s="1"/>
  <c r="K166" s="1"/>
  <c r="L166" s="1"/>
  <c r="M166" s="1"/>
  <c r="N166" s="1"/>
  <c r="C165"/>
  <c r="D165" s="1"/>
  <c r="E165" s="1"/>
  <c r="F165" s="1"/>
  <c r="G165" s="1"/>
  <c r="H165" s="1"/>
  <c r="I165" s="1"/>
  <c r="J165" s="1"/>
  <c r="K165" s="1"/>
  <c r="L165" s="1"/>
  <c r="M165" s="1"/>
  <c r="N165" s="1"/>
  <c r="C164"/>
  <c r="D164" s="1"/>
  <c r="E164" s="1"/>
  <c r="F164" s="1"/>
  <c r="G164" s="1"/>
  <c r="H164" s="1"/>
  <c r="I164" s="1"/>
  <c r="J164" s="1"/>
  <c r="K164" s="1"/>
  <c r="L164" s="1"/>
  <c r="M164" s="1"/>
  <c r="N164" s="1"/>
  <c r="C163"/>
  <c r="D163" s="1"/>
  <c r="E163" s="1"/>
  <c r="F163" s="1"/>
  <c r="G163" s="1"/>
  <c r="H163" s="1"/>
  <c r="I163" s="1"/>
  <c r="J163" s="1"/>
  <c r="K163" s="1"/>
  <c r="L163" s="1"/>
  <c r="M163" s="1"/>
  <c r="N163" s="1"/>
  <c r="C162"/>
  <c r="D162" s="1"/>
  <c r="E162" s="1"/>
  <c r="F162" s="1"/>
  <c r="G162" s="1"/>
  <c r="H162" s="1"/>
  <c r="I162" s="1"/>
  <c r="J162" s="1"/>
  <c r="K162" s="1"/>
  <c r="L162" s="1"/>
  <c r="M162" s="1"/>
  <c r="N162" s="1"/>
  <c r="C161"/>
  <c r="D161" s="1"/>
  <c r="E161" s="1"/>
  <c r="F161" s="1"/>
  <c r="G161" s="1"/>
  <c r="H161" s="1"/>
  <c r="I161" s="1"/>
  <c r="J161" s="1"/>
  <c r="K161" s="1"/>
  <c r="L161" s="1"/>
  <c r="M161" s="1"/>
  <c r="N161" s="1"/>
  <c r="C160"/>
  <c r="D160" s="1"/>
  <c r="E160" s="1"/>
  <c r="F160" s="1"/>
  <c r="G160" s="1"/>
  <c r="H160" s="1"/>
  <c r="I160" s="1"/>
  <c r="J160" s="1"/>
  <c r="K160" s="1"/>
  <c r="L160" s="1"/>
  <c r="M160" s="1"/>
  <c r="N160" s="1"/>
  <c r="C159"/>
  <c r="D159" s="1"/>
  <c r="E159" s="1"/>
  <c r="F159" s="1"/>
  <c r="G159" s="1"/>
  <c r="H159" s="1"/>
  <c r="I159" s="1"/>
  <c r="J159" s="1"/>
  <c r="K159" s="1"/>
  <c r="L159" s="1"/>
  <c r="M159" s="1"/>
  <c r="N159" s="1"/>
  <c r="C158"/>
  <c r="D158" s="1"/>
  <c r="E158" s="1"/>
  <c r="F158" s="1"/>
  <c r="G158" s="1"/>
  <c r="H158" s="1"/>
  <c r="I158" s="1"/>
  <c r="J158" s="1"/>
  <c r="K158" s="1"/>
  <c r="L158" s="1"/>
  <c r="M158" s="1"/>
  <c r="N158" s="1"/>
  <c r="C157"/>
  <c r="D157" s="1"/>
  <c r="E157" s="1"/>
  <c r="F157" s="1"/>
  <c r="G157" s="1"/>
  <c r="H157" s="1"/>
  <c r="I157" s="1"/>
  <c r="J157" s="1"/>
  <c r="K157" s="1"/>
  <c r="L157" s="1"/>
  <c r="M157" s="1"/>
  <c r="N157" s="1"/>
  <c r="C156"/>
  <c r="D156" s="1"/>
  <c r="E156" s="1"/>
  <c r="F156" s="1"/>
  <c r="G156" s="1"/>
  <c r="H156" s="1"/>
  <c r="I156" s="1"/>
  <c r="J156" s="1"/>
  <c r="K156" s="1"/>
  <c r="L156" s="1"/>
  <c r="M156" s="1"/>
  <c r="N156" s="1"/>
  <c r="C155"/>
  <c r="D155" s="1"/>
  <c r="E155" s="1"/>
  <c r="F155" s="1"/>
  <c r="G155" s="1"/>
  <c r="H155" s="1"/>
  <c r="I155" s="1"/>
  <c r="J155" s="1"/>
  <c r="K155" s="1"/>
  <c r="L155" s="1"/>
  <c r="M155" s="1"/>
  <c r="N155" s="1"/>
  <c r="C154"/>
  <c r="D154" s="1"/>
  <c r="E154" s="1"/>
  <c r="F154" s="1"/>
  <c r="G154" s="1"/>
  <c r="H154" s="1"/>
  <c r="I154" s="1"/>
  <c r="J154" s="1"/>
  <c r="K154" s="1"/>
  <c r="L154" s="1"/>
  <c r="M154" s="1"/>
  <c r="N154" s="1"/>
  <c r="C153"/>
  <c r="D153" s="1"/>
  <c r="E153" s="1"/>
  <c r="F153" s="1"/>
  <c r="G153" s="1"/>
  <c r="H153" s="1"/>
  <c r="I153" s="1"/>
  <c r="J153" s="1"/>
  <c r="K153" s="1"/>
  <c r="L153" s="1"/>
  <c r="M153" s="1"/>
  <c r="N153" s="1"/>
  <c r="C152"/>
  <c r="D152" s="1"/>
  <c r="E152" s="1"/>
  <c r="F152" s="1"/>
  <c r="G152" s="1"/>
  <c r="H152" s="1"/>
  <c r="I152" s="1"/>
  <c r="J152" s="1"/>
  <c r="K152" s="1"/>
  <c r="L152" s="1"/>
  <c r="M152" s="1"/>
  <c r="N152" s="1"/>
  <c r="C151"/>
  <c r="D151" s="1"/>
  <c r="E151" s="1"/>
  <c r="F151" s="1"/>
  <c r="G151" s="1"/>
  <c r="H151" s="1"/>
  <c r="I151" s="1"/>
  <c r="J151" s="1"/>
  <c r="K151" s="1"/>
  <c r="L151" s="1"/>
  <c r="M151" s="1"/>
  <c r="N151" s="1"/>
  <c r="C150"/>
  <c r="D150" s="1"/>
  <c r="E150" s="1"/>
  <c r="F150" s="1"/>
  <c r="G150" s="1"/>
  <c r="H150" s="1"/>
  <c r="I150" s="1"/>
  <c r="J150" s="1"/>
  <c r="K150" s="1"/>
  <c r="L150" s="1"/>
  <c r="M150" s="1"/>
  <c r="N150" s="1"/>
  <c r="C149"/>
  <c r="D149" s="1"/>
  <c r="E149" s="1"/>
  <c r="F149" s="1"/>
  <c r="G149" s="1"/>
  <c r="H149" s="1"/>
  <c r="I149" s="1"/>
  <c r="J149" s="1"/>
  <c r="K149" s="1"/>
  <c r="L149" s="1"/>
  <c r="M149" s="1"/>
  <c r="N149" s="1"/>
  <c r="C148"/>
  <c r="D148" s="1"/>
  <c r="E148" s="1"/>
  <c r="F148" s="1"/>
  <c r="G148" s="1"/>
  <c r="H148" s="1"/>
  <c r="I148" s="1"/>
  <c r="J148" s="1"/>
  <c r="K148" s="1"/>
  <c r="L148" s="1"/>
  <c r="M148" s="1"/>
  <c r="N148" s="1"/>
  <c r="C147"/>
  <c r="D147" s="1"/>
  <c r="E147" s="1"/>
  <c r="F147" s="1"/>
  <c r="G147" s="1"/>
  <c r="H147" s="1"/>
  <c r="I147" s="1"/>
  <c r="J147" s="1"/>
  <c r="K147" s="1"/>
  <c r="L147" s="1"/>
  <c r="M147" s="1"/>
  <c r="N147" s="1"/>
  <c r="C146"/>
  <c r="D146" s="1"/>
  <c r="E146" s="1"/>
  <c r="F146" s="1"/>
  <c r="G146" s="1"/>
  <c r="H146" s="1"/>
  <c r="I146" s="1"/>
  <c r="J146" s="1"/>
  <c r="K146" s="1"/>
  <c r="L146" s="1"/>
  <c r="M146" s="1"/>
  <c r="N146" s="1"/>
  <c r="C145"/>
  <c r="D145" s="1"/>
  <c r="E145" s="1"/>
  <c r="F145" s="1"/>
  <c r="G145" s="1"/>
  <c r="H145" s="1"/>
  <c r="I145" s="1"/>
  <c r="J145" s="1"/>
  <c r="K145" s="1"/>
  <c r="L145" s="1"/>
  <c r="M145" s="1"/>
  <c r="N145" s="1"/>
  <c r="C144"/>
  <c r="D144" s="1"/>
  <c r="E144" s="1"/>
  <c r="F144" s="1"/>
  <c r="G144" s="1"/>
  <c r="H144" s="1"/>
  <c r="I144" s="1"/>
  <c r="J144" s="1"/>
  <c r="K144" s="1"/>
  <c r="L144" s="1"/>
  <c r="M144" s="1"/>
  <c r="N144" s="1"/>
  <c r="C143"/>
  <c r="D143" s="1"/>
  <c r="E143" s="1"/>
  <c r="F143" s="1"/>
  <c r="G143" s="1"/>
  <c r="H143" s="1"/>
  <c r="I143" s="1"/>
  <c r="J143" s="1"/>
  <c r="K143" s="1"/>
  <c r="L143" s="1"/>
  <c r="M143" s="1"/>
  <c r="N143" s="1"/>
  <c r="C142"/>
  <c r="D142" s="1"/>
  <c r="E142" s="1"/>
  <c r="F142" s="1"/>
  <c r="G142" s="1"/>
  <c r="H142" s="1"/>
  <c r="I142" s="1"/>
  <c r="J142" s="1"/>
  <c r="K142" s="1"/>
  <c r="L142" s="1"/>
  <c r="M142" s="1"/>
  <c r="N142" s="1"/>
  <c r="C141"/>
  <c r="D141" s="1"/>
  <c r="E141" s="1"/>
  <c r="F141" s="1"/>
  <c r="G141" s="1"/>
  <c r="H141" s="1"/>
  <c r="I141" s="1"/>
  <c r="J141" s="1"/>
  <c r="K141" s="1"/>
  <c r="L141" s="1"/>
  <c r="M141" s="1"/>
  <c r="N141" s="1"/>
  <c r="C140"/>
  <c r="D140" s="1"/>
  <c r="E140" s="1"/>
  <c r="F140" s="1"/>
  <c r="G140" s="1"/>
  <c r="H140" s="1"/>
  <c r="I140" s="1"/>
  <c r="J140" s="1"/>
  <c r="K140" s="1"/>
  <c r="L140" s="1"/>
  <c r="M140" s="1"/>
  <c r="N140" s="1"/>
  <c r="C139"/>
  <c r="D139" s="1"/>
  <c r="E139" s="1"/>
  <c r="F139" s="1"/>
  <c r="G139" s="1"/>
  <c r="H139" s="1"/>
  <c r="I139" s="1"/>
  <c r="J139" s="1"/>
  <c r="K139" s="1"/>
  <c r="L139" s="1"/>
  <c r="M139" s="1"/>
  <c r="N139" s="1"/>
  <c r="C138"/>
  <c r="D138" s="1"/>
  <c r="E138" s="1"/>
  <c r="F138" s="1"/>
  <c r="G138" s="1"/>
  <c r="H138" s="1"/>
  <c r="I138" s="1"/>
  <c r="J138" s="1"/>
  <c r="K138" s="1"/>
  <c r="L138" s="1"/>
  <c r="M138" s="1"/>
  <c r="N138" s="1"/>
  <c r="C137"/>
  <c r="D137" s="1"/>
  <c r="E137" s="1"/>
  <c r="F137" s="1"/>
  <c r="G137" s="1"/>
  <c r="H137" s="1"/>
  <c r="I137" s="1"/>
  <c r="J137" s="1"/>
  <c r="K137" s="1"/>
  <c r="L137" s="1"/>
  <c r="M137" s="1"/>
  <c r="N137" s="1"/>
  <c r="C136"/>
  <c r="D136" s="1"/>
  <c r="E136" s="1"/>
  <c r="F136" s="1"/>
  <c r="G136" s="1"/>
  <c r="H136" s="1"/>
  <c r="I136" s="1"/>
  <c r="J136" s="1"/>
  <c r="K136" s="1"/>
  <c r="L136" s="1"/>
  <c r="M136" s="1"/>
  <c r="N136" s="1"/>
  <c r="C135"/>
  <c r="D135" s="1"/>
  <c r="E135" s="1"/>
  <c r="F135" s="1"/>
  <c r="G135" s="1"/>
  <c r="H135" s="1"/>
  <c r="I135" s="1"/>
  <c r="J135" s="1"/>
  <c r="K135" s="1"/>
  <c r="L135" s="1"/>
  <c r="M135" s="1"/>
  <c r="N135" s="1"/>
  <c r="C134"/>
  <c r="D134" s="1"/>
  <c r="E134" s="1"/>
  <c r="F134" s="1"/>
  <c r="G134" s="1"/>
  <c r="H134" s="1"/>
  <c r="I134" s="1"/>
  <c r="J134" s="1"/>
  <c r="K134" s="1"/>
  <c r="L134" s="1"/>
  <c r="M134" s="1"/>
  <c r="N134" s="1"/>
  <c r="C133"/>
  <c r="D133" s="1"/>
  <c r="E133" s="1"/>
  <c r="F133" s="1"/>
  <c r="G133" s="1"/>
  <c r="H133" s="1"/>
  <c r="I133" s="1"/>
  <c r="J133" s="1"/>
  <c r="K133" s="1"/>
  <c r="L133" s="1"/>
  <c r="M133" s="1"/>
  <c r="N133" s="1"/>
  <c r="C132"/>
  <c r="D132" s="1"/>
  <c r="E132" s="1"/>
  <c r="F132" s="1"/>
  <c r="G132" s="1"/>
  <c r="H132" s="1"/>
  <c r="I132" s="1"/>
  <c r="J132" s="1"/>
  <c r="K132" s="1"/>
  <c r="L132" s="1"/>
  <c r="M132" s="1"/>
  <c r="N132" s="1"/>
  <c r="C131"/>
  <c r="D131" s="1"/>
  <c r="E131" s="1"/>
  <c r="F131" s="1"/>
  <c r="G131" s="1"/>
  <c r="H131" s="1"/>
  <c r="I131" s="1"/>
  <c r="J131" s="1"/>
  <c r="K131" s="1"/>
  <c r="L131" s="1"/>
  <c r="M131" s="1"/>
  <c r="N131" s="1"/>
  <c r="C130"/>
  <c r="D130" s="1"/>
  <c r="E130" s="1"/>
  <c r="F130" s="1"/>
  <c r="G130" s="1"/>
  <c r="H130" s="1"/>
  <c r="I130" s="1"/>
  <c r="J130" s="1"/>
  <c r="K130" s="1"/>
  <c r="L130" s="1"/>
  <c r="M130" s="1"/>
  <c r="N130" s="1"/>
  <c r="C129"/>
  <c r="D129" s="1"/>
  <c r="E129" s="1"/>
  <c r="F129" s="1"/>
  <c r="G129" s="1"/>
  <c r="H129" s="1"/>
  <c r="I129" s="1"/>
  <c r="J129" s="1"/>
  <c r="K129" s="1"/>
  <c r="L129" s="1"/>
  <c r="M129" s="1"/>
  <c r="N129" s="1"/>
  <c r="C128"/>
  <c r="D128" s="1"/>
  <c r="E128" s="1"/>
  <c r="F128" s="1"/>
  <c r="G128" s="1"/>
  <c r="H128" s="1"/>
  <c r="I128" s="1"/>
  <c r="J128" s="1"/>
  <c r="K128" s="1"/>
  <c r="L128" s="1"/>
  <c r="M128" s="1"/>
  <c r="N128" s="1"/>
  <c r="C127"/>
  <c r="D127" s="1"/>
  <c r="E127" s="1"/>
  <c r="F127" s="1"/>
  <c r="G127" s="1"/>
  <c r="H127" s="1"/>
  <c r="I127" s="1"/>
  <c r="J127" s="1"/>
  <c r="K127" s="1"/>
  <c r="L127" s="1"/>
  <c r="M127" s="1"/>
  <c r="N127" s="1"/>
  <c r="C126"/>
  <c r="D126" s="1"/>
  <c r="E126" s="1"/>
  <c r="F126" s="1"/>
  <c r="G126" s="1"/>
  <c r="H126" s="1"/>
  <c r="I126" s="1"/>
  <c r="J126" s="1"/>
  <c r="K126" s="1"/>
  <c r="L126" s="1"/>
  <c r="M126" s="1"/>
  <c r="N126" s="1"/>
  <c r="C125"/>
  <c r="D125" s="1"/>
  <c r="E125" s="1"/>
  <c r="F125" s="1"/>
  <c r="G125" s="1"/>
  <c r="H125" s="1"/>
  <c r="I125" s="1"/>
  <c r="J125" s="1"/>
  <c r="K125" s="1"/>
  <c r="L125" s="1"/>
  <c r="M125" s="1"/>
  <c r="N125" s="1"/>
  <c r="C124"/>
  <c r="D124" s="1"/>
  <c r="E124" s="1"/>
  <c r="F124" s="1"/>
  <c r="G124" s="1"/>
  <c r="H124" s="1"/>
  <c r="I124" s="1"/>
  <c r="J124" s="1"/>
  <c r="K124" s="1"/>
  <c r="L124" s="1"/>
  <c r="M124" s="1"/>
  <c r="N124" s="1"/>
  <c r="C123"/>
  <c r="D123" s="1"/>
  <c r="E123" s="1"/>
  <c r="F123" s="1"/>
  <c r="G123" s="1"/>
  <c r="H123" s="1"/>
  <c r="I123" s="1"/>
  <c r="J123" s="1"/>
  <c r="K123" s="1"/>
  <c r="L123" s="1"/>
  <c r="M123" s="1"/>
  <c r="N123" s="1"/>
  <c r="C122"/>
  <c r="D122" s="1"/>
  <c r="E122" s="1"/>
  <c r="F122" s="1"/>
  <c r="G122" s="1"/>
  <c r="H122" s="1"/>
  <c r="I122" s="1"/>
  <c r="J122" s="1"/>
  <c r="K122" s="1"/>
  <c r="L122" s="1"/>
  <c r="M122" s="1"/>
  <c r="N122" s="1"/>
  <c r="C121"/>
  <c r="D121" s="1"/>
  <c r="E121" s="1"/>
  <c r="F121" s="1"/>
  <c r="G121" s="1"/>
  <c r="H121" s="1"/>
  <c r="I121" s="1"/>
  <c r="J121" s="1"/>
  <c r="K121" s="1"/>
  <c r="L121" s="1"/>
  <c r="M121" s="1"/>
  <c r="N121" s="1"/>
  <c r="C120"/>
  <c r="D120" s="1"/>
  <c r="E120" s="1"/>
  <c r="F120" s="1"/>
  <c r="G120" s="1"/>
  <c r="H120" s="1"/>
  <c r="I120" s="1"/>
  <c r="J120" s="1"/>
  <c r="K120" s="1"/>
  <c r="L120" s="1"/>
  <c r="M120" s="1"/>
  <c r="N120" s="1"/>
  <c r="C119"/>
  <c r="D119" s="1"/>
  <c r="E119" s="1"/>
  <c r="F119" s="1"/>
  <c r="G119" s="1"/>
  <c r="H119" s="1"/>
  <c r="I119" s="1"/>
  <c r="J119" s="1"/>
  <c r="K119" s="1"/>
  <c r="L119" s="1"/>
  <c r="M119" s="1"/>
  <c r="N119" s="1"/>
  <c r="C118"/>
  <c r="D118" s="1"/>
  <c r="E118" s="1"/>
  <c r="F118" s="1"/>
  <c r="G118" s="1"/>
  <c r="H118" s="1"/>
  <c r="I118" s="1"/>
  <c r="J118" s="1"/>
  <c r="K118" s="1"/>
  <c r="L118" s="1"/>
  <c r="M118" s="1"/>
  <c r="N118" s="1"/>
  <c r="C117"/>
  <c r="D117" s="1"/>
  <c r="E117" s="1"/>
  <c r="F117" s="1"/>
  <c r="G117" s="1"/>
  <c r="H117" s="1"/>
  <c r="I117" s="1"/>
  <c r="J117" s="1"/>
  <c r="K117" s="1"/>
  <c r="L117" s="1"/>
  <c r="M117" s="1"/>
  <c r="N117" s="1"/>
  <c r="C116"/>
  <c r="D116" s="1"/>
  <c r="E116" s="1"/>
  <c r="F116" s="1"/>
  <c r="G116" s="1"/>
  <c r="H116" s="1"/>
  <c r="I116" s="1"/>
  <c r="J116" s="1"/>
  <c r="K116" s="1"/>
  <c r="L116" s="1"/>
  <c r="M116" s="1"/>
  <c r="N116" s="1"/>
  <c r="D115"/>
  <c r="E115" s="1"/>
  <c r="F115" s="1"/>
  <c r="G115" s="1"/>
  <c r="H115" s="1"/>
  <c r="I115" s="1"/>
  <c r="J115" s="1"/>
  <c r="K115" s="1"/>
  <c r="L115" s="1"/>
  <c r="M115" s="1"/>
  <c r="N115" s="1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N48" s="1"/>
  <c r="B47"/>
  <c r="N47" s="1"/>
  <c r="B46"/>
  <c r="N46" s="1"/>
  <c r="B45"/>
  <c r="N45" s="1"/>
  <c r="B44"/>
  <c r="N44" s="1"/>
  <c r="B43"/>
  <c r="N43" s="1"/>
  <c r="B42"/>
  <c r="N42" s="1"/>
  <c r="B41"/>
  <c r="N41" s="1"/>
  <c r="B40"/>
  <c r="N40" s="1"/>
  <c r="B39"/>
  <c r="N39" s="1"/>
  <c r="B38"/>
  <c r="N38" s="1"/>
  <c r="B37"/>
  <c r="N37" s="1"/>
  <c r="B36"/>
  <c r="N36" s="1"/>
  <c r="B35"/>
  <c r="N35" s="1"/>
  <c r="B34"/>
  <c r="N34" s="1"/>
  <c r="B33"/>
  <c r="N33" s="1"/>
  <c r="B32"/>
  <c r="N32" s="1"/>
  <c r="B31"/>
  <c r="N31" s="1"/>
  <c r="B30"/>
  <c r="N30" s="1"/>
  <c r="B29"/>
  <c r="N29" s="1"/>
  <c r="B28"/>
  <c r="N28" s="1"/>
  <c r="B27"/>
  <c r="N27" s="1"/>
  <c r="B26"/>
  <c r="N26" s="1"/>
  <c r="B25"/>
  <c r="N25" s="1"/>
  <c r="B24"/>
  <c r="N24" s="1"/>
  <c r="B23"/>
  <c r="N23" s="1"/>
  <c r="B22"/>
  <c r="N22" s="1"/>
  <c r="B21"/>
  <c r="N21" s="1"/>
  <c r="B20"/>
  <c r="N20" s="1"/>
  <c r="B19"/>
  <c r="N19" s="1"/>
  <c r="B18"/>
  <c r="N18" s="1"/>
  <c r="B17"/>
  <c r="N17" s="1"/>
  <c r="B16"/>
  <c r="N16" s="1"/>
  <c r="B15"/>
  <c r="N15" s="1"/>
  <c r="B14"/>
  <c r="N14" s="1"/>
  <c r="B13"/>
  <c r="N13" s="1"/>
  <c r="B12"/>
  <c r="N11"/>
  <c r="M11"/>
  <c r="L11"/>
  <c r="K11"/>
  <c r="J11"/>
  <c r="I11"/>
  <c r="H11"/>
  <c r="G11"/>
  <c r="F11"/>
  <c r="E11"/>
  <c r="D11"/>
  <c r="C11"/>
  <c r="B108" i="1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4"/>
  <c r="N8"/>
  <c r="M8"/>
  <c r="L8"/>
  <c r="K8"/>
  <c r="J8"/>
  <c r="I8"/>
  <c r="H8"/>
  <c r="G8"/>
  <c r="F8"/>
  <c r="E8"/>
  <c r="D8"/>
  <c r="C8"/>
  <c r="D9" i="4" l="1"/>
  <c r="E9" s="1"/>
  <c r="F9" s="1"/>
  <c r="G9" s="1"/>
  <c r="H9" s="1"/>
  <c r="I9" s="1"/>
  <c r="J9" s="1"/>
  <c r="K9" s="1"/>
  <c r="L9" s="1"/>
  <c r="M9" s="1"/>
  <c r="N9" s="1"/>
  <c r="D10"/>
  <c r="E10" s="1"/>
  <c r="F10" s="1"/>
  <c r="G10" s="1"/>
  <c r="H10" s="1"/>
  <c r="I10" s="1"/>
  <c r="J10" s="1"/>
  <c r="K10" s="1"/>
  <c r="L10" s="1"/>
  <c r="M10" s="1"/>
  <c r="N10" s="1"/>
  <c r="D11"/>
  <c r="E11" s="1"/>
  <c r="F11" s="1"/>
  <c r="G11" s="1"/>
  <c r="H11" s="1"/>
  <c r="I11" s="1"/>
  <c r="J11" s="1"/>
  <c r="K11" s="1"/>
  <c r="L11" s="1"/>
  <c r="M11" s="1"/>
  <c r="N11" s="1"/>
  <c r="D12"/>
  <c r="E12" s="1"/>
  <c r="F12" s="1"/>
  <c r="G12" s="1"/>
  <c r="H12" s="1"/>
  <c r="I12" s="1"/>
  <c r="J12" s="1"/>
  <c r="K12" s="1"/>
  <c r="L12" s="1"/>
  <c r="M12" s="1"/>
  <c r="N12" s="1"/>
  <c r="D13"/>
  <c r="E13" s="1"/>
  <c r="F13" s="1"/>
  <c r="G13" s="1"/>
  <c r="H13" s="1"/>
  <c r="I13" s="1"/>
  <c r="J13" s="1"/>
  <c r="K13" s="1"/>
  <c r="L13" s="1"/>
  <c r="M13" s="1"/>
  <c r="N13" s="1"/>
  <c r="D14"/>
  <c r="E14" s="1"/>
  <c r="F14" s="1"/>
  <c r="G14" s="1"/>
  <c r="H14" s="1"/>
  <c r="I14" s="1"/>
  <c r="J14" s="1"/>
  <c r="K14" s="1"/>
  <c r="L14" s="1"/>
  <c r="M14" s="1"/>
  <c r="N14" s="1"/>
  <c r="D15"/>
  <c r="E15" s="1"/>
  <c r="F15" s="1"/>
  <c r="G15" s="1"/>
  <c r="H15" s="1"/>
  <c r="I15" s="1"/>
  <c r="J15" s="1"/>
  <c r="K15" s="1"/>
  <c r="L15" s="1"/>
  <c r="M15" s="1"/>
  <c r="N15" s="1"/>
  <c r="D16"/>
  <c r="E16" s="1"/>
  <c r="F16" s="1"/>
  <c r="G16" s="1"/>
  <c r="H16" s="1"/>
  <c r="I16" s="1"/>
  <c r="J16" s="1"/>
  <c r="K16" s="1"/>
  <c r="L16" s="1"/>
  <c r="M16" s="1"/>
  <c r="N16" s="1"/>
  <c r="D17"/>
  <c r="E17" s="1"/>
  <c r="F17" s="1"/>
  <c r="G17" s="1"/>
  <c r="H17" s="1"/>
  <c r="I17" s="1"/>
  <c r="J17" s="1"/>
  <c r="K17" s="1"/>
  <c r="L17" s="1"/>
  <c r="M17" s="1"/>
  <c r="N17" s="1"/>
  <c r="D18"/>
  <c r="E18" s="1"/>
  <c r="F18" s="1"/>
  <c r="G18" s="1"/>
  <c r="H18" s="1"/>
  <c r="I18" s="1"/>
  <c r="J18" s="1"/>
  <c r="K18" s="1"/>
  <c r="L18" s="1"/>
  <c r="M18" s="1"/>
  <c r="N18" s="1"/>
  <c r="D19"/>
  <c r="E19" s="1"/>
  <c r="F19" s="1"/>
  <c r="G19" s="1"/>
  <c r="H19" s="1"/>
  <c r="I19" s="1"/>
  <c r="J19" s="1"/>
  <c r="K19" s="1"/>
  <c r="L19" s="1"/>
  <c r="M19" s="1"/>
  <c r="N19" s="1"/>
  <c r="D20"/>
  <c r="E20" s="1"/>
  <c r="F20" s="1"/>
  <c r="G20" s="1"/>
  <c r="H20" s="1"/>
  <c r="I20" s="1"/>
  <c r="J20" s="1"/>
  <c r="K20" s="1"/>
  <c r="L20" s="1"/>
  <c r="M20" s="1"/>
  <c r="N20" s="1"/>
  <c r="D21"/>
  <c r="E21" s="1"/>
  <c r="F21" s="1"/>
  <c r="G21" s="1"/>
  <c r="H21" s="1"/>
  <c r="I21" s="1"/>
  <c r="J21" s="1"/>
  <c r="K21" s="1"/>
  <c r="L21" s="1"/>
  <c r="M21" s="1"/>
  <c r="N21" s="1"/>
  <c r="D22"/>
  <c r="E22" s="1"/>
  <c r="F22" s="1"/>
  <c r="G22" s="1"/>
  <c r="H22" s="1"/>
  <c r="I22" s="1"/>
  <c r="J22" s="1"/>
  <c r="K22" s="1"/>
  <c r="L22" s="1"/>
  <c r="M22" s="1"/>
  <c r="N22" s="1"/>
  <c r="D23"/>
  <c r="E23" s="1"/>
  <c r="F23" s="1"/>
  <c r="G23" s="1"/>
  <c r="H23" s="1"/>
  <c r="I23" s="1"/>
  <c r="J23" s="1"/>
  <c r="K23" s="1"/>
  <c r="L23" s="1"/>
  <c r="M23" s="1"/>
  <c r="N23" s="1"/>
  <c r="C8"/>
  <c r="D8" s="1"/>
  <c r="E8" s="1"/>
  <c r="F8" s="1"/>
  <c r="G8" s="1"/>
  <c r="H8" s="1"/>
  <c r="I8" s="1"/>
  <c r="J8" s="1"/>
  <c r="K8" s="1"/>
  <c r="L8" s="1"/>
  <c r="M8" s="1"/>
  <c r="N8" s="1"/>
  <c r="R9"/>
  <c r="S9" s="1"/>
  <c r="T9" s="1"/>
  <c r="U9" s="1"/>
  <c r="V9" s="1"/>
  <c r="W9" s="1"/>
  <c r="X9" s="1"/>
  <c r="Y9" s="1"/>
  <c r="Z9" s="1"/>
  <c r="AA9" s="1"/>
  <c r="AB9" s="1"/>
  <c r="AC9" s="1"/>
  <c r="R10"/>
  <c r="S10" s="1"/>
  <c r="T10" s="1"/>
  <c r="U10" s="1"/>
  <c r="V10" s="1"/>
  <c r="W10" s="1"/>
  <c r="X10" s="1"/>
  <c r="Y10" s="1"/>
  <c r="Z10" s="1"/>
  <c r="AA10" s="1"/>
  <c r="AB10" s="1"/>
  <c r="AC10" s="1"/>
  <c r="R11"/>
  <c r="S11" s="1"/>
  <c r="T11" s="1"/>
  <c r="U11" s="1"/>
  <c r="V11" s="1"/>
  <c r="W11" s="1"/>
  <c r="X11" s="1"/>
  <c r="Y11" s="1"/>
  <c r="Z11" s="1"/>
  <c r="AA11" s="1"/>
  <c r="AB11" s="1"/>
  <c r="AC11" s="1"/>
  <c r="R12"/>
  <c r="S12" s="1"/>
  <c r="T12" s="1"/>
  <c r="U12" s="1"/>
  <c r="V12" s="1"/>
  <c r="W12" s="1"/>
  <c r="X12" s="1"/>
  <c r="Y12" s="1"/>
  <c r="Z12" s="1"/>
  <c r="AA12" s="1"/>
  <c r="AB12" s="1"/>
  <c r="AC12" s="1"/>
  <c r="R13"/>
  <c r="S13" s="1"/>
  <c r="T13" s="1"/>
  <c r="U13" s="1"/>
  <c r="V13" s="1"/>
  <c r="W13" s="1"/>
  <c r="X13" s="1"/>
  <c r="Y13" s="1"/>
  <c r="Z13" s="1"/>
  <c r="AA13" s="1"/>
  <c r="AB13" s="1"/>
  <c r="AC13" s="1"/>
  <c r="R14"/>
  <c r="S14" s="1"/>
  <c r="T14" s="1"/>
  <c r="U14" s="1"/>
  <c r="V14" s="1"/>
  <c r="W14" s="1"/>
  <c r="X14" s="1"/>
  <c r="Y14" s="1"/>
  <c r="Z14" s="1"/>
  <c r="AA14" s="1"/>
  <c r="AB14" s="1"/>
  <c r="AC14" s="1"/>
  <c r="R15"/>
  <c r="S15" s="1"/>
  <c r="T15" s="1"/>
  <c r="U15" s="1"/>
  <c r="V15" s="1"/>
  <c r="W15" s="1"/>
  <c r="X15" s="1"/>
  <c r="Y15" s="1"/>
  <c r="Z15" s="1"/>
  <c r="AA15" s="1"/>
  <c r="AB15" s="1"/>
  <c r="AC15" s="1"/>
  <c r="R16"/>
  <c r="S16" s="1"/>
  <c r="T16" s="1"/>
  <c r="U16" s="1"/>
  <c r="V16" s="1"/>
  <c r="W16" s="1"/>
  <c r="X16" s="1"/>
  <c r="Y16" s="1"/>
  <c r="Z16" s="1"/>
  <c r="AA16" s="1"/>
  <c r="AB16" s="1"/>
  <c r="AC16" s="1"/>
  <c r="R17"/>
  <c r="S17" s="1"/>
  <c r="T17" s="1"/>
  <c r="U17" s="1"/>
  <c r="V17" s="1"/>
  <c r="W17" s="1"/>
  <c r="X17" s="1"/>
  <c r="Y17" s="1"/>
  <c r="Z17" s="1"/>
  <c r="AA17" s="1"/>
  <c r="AB17" s="1"/>
  <c r="AC17" s="1"/>
  <c r="R18"/>
  <c r="S18" s="1"/>
  <c r="T18" s="1"/>
  <c r="U18" s="1"/>
  <c r="V18" s="1"/>
  <c r="W18" s="1"/>
  <c r="X18" s="1"/>
  <c r="Y18" s="1"/>
  <c r="Z18" s="1"/>
  <c r="AA18" s="1"/>
  <c r="AB18" s="1"/>
  <c r="AC18" s="1"/>
  <c r="R19"/>
  <c r="S19" s="1"/>
  <c r="T19" s="1"/>
  <c r="U19" s="1"/>
  <c r="V19" s="1"/>
  <c r="W19" s="1"/>
  <c r="X19" s="1"/>
  <c r="Y19" s="1"/>
  <c r="Z19" s="1"/>
  <c r="AA19" s="1"/>
  <c r="AB19" s="1"/>
  <c r="AC19" s="1"/>
  <c r="R20"/>
  <c r="S20" s="1"/>
  <c r="T20" s="1"/>
  <c r="U20" s="1"/>
  <c r="V20" s="1"/>
  <c r="W20" s="1"/>
  <c r="X20" s="1"/>
  <c r="Y20" s="1"/>
  <c r="Z20" s="1"/>
  <c r="AA20" s="1"/>
  <c r="AB20" s="1"/>
  <c r="AC20" s="1"/>
  <c r="R21"/>
  <c r="S21" s="1"/>
  <c r="T21" s="1"/>
  <c r="U21" s="1"/>
  <c r="V21" s="1"/>
  <c r="W21" s="1"/>
  <c r="X21" s="1"/>
  <c r="Y21" s="1"/>
  <c r="Z21" s="1"/>
  <c r="AA21" s="1"/>
  <c r="AB21" s="1"/>
  <c r="AC21" s="1"/>
  <c r="R22"/>
  <c r="S22" s="1"/>
  <c r="T22" s="1"/>
  <c r="U22" s="1"/>
  <c r="V22" s="1"/>
  <c r="W22" s="1"/>
  <c r="X22" s="1"/>
  <c r="Y22" s="1"/>
  <c r="Z22" s="1"/>
  <c r="AA22" s="1"/>
  <c r="AB22" s="1"/>
  <c r="AC22" s="1"/>
  <c r="R23"/>
  <c r="S23" s="1"/>
  <c r="T23" s="1"/>
  <c r="U23" s="1"/>
  <c r="V23" s="1"/>
  <c r="W23" s="1"/>
  <c r="X23" s="1"/>
  <c r="Y23" s="1"/>
  <c r="Z23" s="1"/>
  <c r="AA23" s="1"/>
  <c r="AB23" s="1"/>
  <c r="AC23" s="1"/>
  <c r="R8"/>
  <c r="S8" s="1"/>
  <c r="T8" s="1"/>
  <c r="U8" s="1"/>
  <c r="V8" s="1"/>
  <c r="W8" s="1"/>
  <c r="X8" s="1"/>
  <c r="Y8" s="1"/>
  <c r="Z8" s="1"/>
  <c r="AA8" s="1"/>
  <c r="AB8" s="1"/>
  <c r="AC8" s="1"/>
  <c r="D10" i="1"/>
  <c r="E10" s="1"/>
  <c r="F10" s="1"/>
  <c r="G10" s="1"/>
  <c r="H10" s="1"/>
  <c r="I10" s="1"/>
  <c r="J10" s="1"/>
  <c r="K10" s="1"/>
  <c r="L10" s="1"/>
  <c r="M10" s="1"/>
  <c r="N10" s="1"/>
  <c r="C11"/>
  <c r="D11" s="1"/>
  <c r="E11" s="1"/>
  <c r="F11" s="1"/>
  <c r="G11" s="1"/>
  <c r="H11" s="1"/>
  <c r="I11" s="1"/>
  <c r="J11" s="1"/>
  <c r="K11" s="1"/>
  <c r="L11" s="1"/>
  <c r="M11" s="1"/>
  <c r="N11" s="1"/>
  <c r="C12"/>
  <c r="D12" s="1"/>
  <c r="E12" s="1"/>
  <c r="F12" s="1"/>
  <c r="G12" s="1"/>
  <c r="H12" s="1"/>
  <c r="I12" s="1"/>
  <c r="J12" s="1"/>
  <c r="K12" s="1"/>
  <c r="L12" s="1"/>
  <c r="M12" s="1"/>
  <c r="N12" s="1"/>
  <c r="C13"/>
  <c r="D13" s="1"/>
  <c r="E13" s="1"/>
  <c r="F13" s="1"/>
  <c r="G13" s="1"/>
  <c r="H13" s="1"/>
  <c r="I13" s="1"/>
  <c r="J13" s="1"/>
  <c r="K13" s="1"/>
  <c r="L13" s="1"/>
  <c r="M13" s="1"/>
  <c r="N13" s="1"/>
  <c r="C14"/>
  <c r="D14" s="1"/>
  <c r="E14" s="1"/>
  <c r="F14" s="1"/>
  <c r="G14" s="1"/>
  <c r="H14" s="1"/>
  <c r="I14" s="1"/>
  <c r="J14" s="1"/>
  <c r="K14" s="1"/>
  <c r="L14" s="1"/>
  <c r="M14" s="1"/>
  <c r="N14" s="1"/>
  <c r="C15"/>
  <c r="D15" s="1"/>
  <c r="E15" s="1"/>
  <c r="F15" s="1"/>
  <c r="G15" s="1"/>
  <c r="H15" s="1"/>
  <c r="I15" s="1"/>
  <c r="J15" s="1"/>
  <c r="K15" s="1"/>
  <c r="L15" s="1"/>
  <c r="M15" s="1"/>
  <c r="N15" s="1"/>
  <c r="C16"/>
  <c r="D16" s="1"/>
  <c r="E16" s="1"/>
  <c r="F16" s="1"/>
  <c r="G16" s="1"/>
  <c r="H16" s="1"/>
  <c r="I16" s="1"/>
  <c r="J16" s="1"/>
  <c r="K16" s="1"/>
  <c r="L16" s="1"/>
  <c r="M16" s="1"/>
  <c r="N16" s="1"/>
  <c r="C17"/>
  <c r="D17" s="1"/>
  <c r="E17" s="1"/>
  <c r="F17" s="1"/>
  <c r="G17" s="1"/>
  <c r="H17" s="1"/>
  <c r="I17" s="1"/>
  <c r="J17" s="1"/>
  <c r="K17" s="1"/>
  <c r="L17" s="1"/>
  <c r="M17" s="1"/>
  <c r="N17" s="1"/>
  <c r="C18"/>
  <c r="D18" s="1"/>
  <c r="E18" s="1"/>
  <c r="F18" s="1"/>
  <c r="G18" s="1"/>
  <c r="H18" s="1"/>
  <c r="I18" s="1"/>
  <c r="J18" s="1"/>
  <c r="K18" s="1"/>
  <c r="L18" s="1"/>
  <c r="M18" s="1"/>
  <c r="N18" s="1"/>
  <c r="C19"/>
  <c r="D19" s="1"/>
  <c r="E19" s="1"/>
  <c r="F19" s="1"/>
  <c r="G19" s="1"/>
  <c r="H19" s="1"/>
  <c r="I19" s="1"/>
  <c r="J19" s="1"/>
  <c r="K19" s="1"/>
  <c r="L19" s="1"/>
  <c r="M19" s="1"/>
  <c r="N19" s="1"/>
  <c r="C20"/>
  <c r="D20" s="1"/>
  <c r="E20" s="1"/>
  <c r="F20" s="1"/>
  <c r="G20" s="1"/>
  <c r="H20" s="1"/>
  <c r="I20" s="1"/>
  <c r="J20" s="1"/>
  <c r="K20" s="1"/>
  <c r="L20" s="1"/>
  <c r="M20" s="1"/>
  <c r="N20" s="1"/>
  <c r="C21"/>
  <c r="D21" s="1"/>
  <c r="E21" s="1"/>
  <c r="F21" s="1"/>
  <c r="G21" s="1"/>
  <c r="H21" s="1"/>
  <c r="I21" s="1"/>
  <c r="J21" s="1"/>
  <c r="K21" s="1"/>
  <c r="L21" s="1"/>
  <c r="M21" s="1"/>
  <c r="N21" s="1"/>
  <c r="C22"/>
  <c r="D22" s="1"/>
  <c r="E22" s="1"/>
  <c r="F22" s="1"/>
  <c r="G22" s="1"/>
  <c r="H22" s="1"/>
  <c r="I22" s="1"/>
  <c r="J22" s="1"/>
  <c r="K22" s="1"/>
  <c r="L22" s="1"/>
  <c r="M22" s="1"/>
  <c r="N22" s="1"/>
  <c r="C23"/>
  <c r="D23" s="1"/>
  <c r="E23" s="1"/>
  <c r="F23" s="1"/>
  <c r="G23" s="1"/>
  <c r="H23" s="1"/>
  <c r="I23" s="1"/>
  <c r="J23" s="1"/>
  <c r="K23" s="1"/>
  <c r="L23" s="1"/>
  <c r="M23" s="1"/>
  <c r="N23" s="1"/>
  <c r="C24"/>
  <c r="D24" s="1"/>
  <c r="E24" s="1"/>
  <c r="F24" s="1"/>
  <c r="G24" s="1"/>
  <c r="H24" s="1"/>
  <c r="I24" s="1"/>
  <c r="J24" s="1"/>
  <c r="K24" s="1"/>
  <c r="L24" s="1"/>
  <c r="M24" s="1"/>
  <c r="N24" s="1"/>
  <c r="C25"/>
  <c r="D25" s="1"/>
  <c r="E25" s="1"/>
  <c r="F25" s="1"/>
  <c r="G25" s="1"/>
  <c r="H25" s="1"/>
  <c r="I25" s="1"/>
  <c r="J25" s="1"/>
  <c r="K25" s="1"/>
  <c r="L25" s="1"/>
  <c r="M25" s="1"/>
  <c r="N25" s="1"/>
  <c r="C26"/>
  <c r="D26" s="1"/>
  <c r="E26" s="1"/>
  <c r="F26" s="1"/>
  <c r="G26" s="1"/>
  <c r="H26" s="1"/>
  <c r="I26" s="1"/>
  <c r="J26" s="1"/>
  <c r="K26" s="1"/>
  <c r="L26" s="1"/>
  <c r="M26" s="1"/>
  <c r="N26" s="1"/>
  <c r="C27"/>
  <c r="D27" s="1"/>
  <c r="E27" s="1"/>
  <c r="F27" s="1"/>
  <c r="G27" s="1"/>
  <c r="H27" s="1"/>
  <c r="I27" s="1"/>
  <c r="J27" s="1"/>
  <c r="K27" s="1"/>
  <c r="L27" s="1"/>
  <c r="M27" s="1"/>
  <c r="N27" s="1"/>
  <c r="C28"/>
  <c r="D28" s="1"/>
  <c r="E28" s="1"/>
  <c r="F28" s="1"/>
  <c r="G28" s="1"/>
  <c r="H28" s="1"/>
  <c r="I28" s="1"/>
  <c r="J28" s="1"/>
  <c r="K28" s="1"/>
  <c r="L28" s="1"/>
  <c r="M28" s="1"/>
  <c r="N28" s="1"/>
  <c r="C29"/>
  <c r="D29" s="1"/>
  <c r="E29" s="1"/>
  <c r="F29" s="1"/>
  <c r="G29" s="1"/>
  <c r="H29" s="1"/>
  <c r="I29" s="1"/>
  <c r="J29" s="1"/>
  <c r="K29" s="1"/>
  <c r="L29" s="1"/>
  <c r="M29" s="1"/>
  <c r="N29" s="1"/>
  <c r="C30"/>
  <c r="D30" s="1"/>
  <c r="E30" s="1"/>
  <c r="F30" s="1"/>
  <c r="G30" s="1"/>
  <c r="H30" s="1"/>
  <c r="I30" s="1"/>
  <c r="J30" s="1"/>
  <c r="K30" s="1"/>
  <c r="L30" s="1"/>
  <c r="M30" s="1"/>
  <c r="N30" s="1"/>
  <c r="C31"/>
  <c r="D31" s="1"/>
  <c r="E31" s="1"/>
  <c r="F31" s="1"/>
  <c r="G31" s="1"/>
  <c r="H31" s="1"/>
  <c r="I31" s="1"/>
  <c r="J31" s="1"/>
  <c r="K31" s="1"/>
  <c r="L31" s="1"/>
  <c r="M31" s="1"/>
  <c r="N31" s="1"/>
  <c r="C32"/>
  <c r="D32" s="1"/>
  <c r="E32" s="1"/>
  <c r="F32" s="1"/>
  <c r="G32" s="1"/>
  <c r="H32" s="1"/>
  <c r="I32" s="1"/>
  <c r="J32" s="1"/>
  <c r="K32" s="1"/>
  <c r="L32" s="1"/>
  <c r="M32" s="1"/>
  <c r="N32" s="1"/>
  <c r="C33"/>
  <c r="D33" s="1"/>
  <c r="E33" s="1"/>
  <c r="F33" s="1"/>
  <c r="G33" s="1"/>
  <c r="H33" s="1"/>
  <c r="I33" s="1"/>
  <c r="J33" s="1"/>
  <c r="K33" s="1"/>
  <c r="L33" s="1"/>
  <c r="M33" s="1"/>
  <c r="N33" s="1"/>
  <c r="C34"/>
  <c r="D34" s="1"/>
  <c r="E34" s="1"/>
  <c r="F34" s="1"/>
  <c r="G34" s="1"/>
  <c r="H34" s="1"/>
  <c r="I34" s="1"/>
  <c r="J34" s="1"/>
  <c r="K34" s="1"/>
  <c r="L34" s="1"/>
  <c r="M34" s="1"/>
  <c r="N34" s="1"/>
  <c r="C35"/>
  <c r="D35" s="1"/>
  <c r="E35" s="1"/>
  <c r="F35" s="1"/>
  <c r="G35" s="1"/>
  <c r="H35" s="1"/>
  <c r="I35" s="1"/>
  <c r="J35" s="1"/>
  <c r="K35" s="1"/>
  <c r="L35" s="1"/>
  <c r="M35" s="1"/>
  <c r="N35" s="1"/>
  <c r="C36"/>
  <c r="D36" s="1"/>
  <c r="E36" s="1"/>
  <c r="F36" s="1"/>
  <c r="G36" s="1"/>
  <c r="H36" s="1"/>
  <c r="I36" s="1"/>
  <c r="J36" s="1"/>
  <c r="K36" s="1"/>
  <c r="L36" s="1"/>
  <c r="M36" s="1"/>
  <c r="N36" s="1"/>
  <c r="C37"/>
  <c r="D37" s="1"/>
  <c r="E37" s="1"/>
  <c r="F37" s="1"/>
  <c r="G37" s="1"/>
  <c r="H37" s="1"/>
  <c r="I37" s="1"/>
  <c r="J37" s="1"/>
  <c r="K37" s="1"/>
  <c r="L37" s="1"/>
  <c r="M37" s="1"/>
  <c r="N37" s="1"/>
  <c r="C38"/>
  <c r="D38" s="1"/>
  <c r="E38" s="1"/>
  <c r="F38" s="1"/>
  <c r="G38" s="1"/>
  <c r="H38" s="1"/>
  <c r="I38" s="1"/>
  <c r="J38" s="1"/>
  <c r="K38" s="1"/>
  <c r="L38" s="1"/>
  <c r="M38" s="1"/>
  <c r="N38" s="1"/>
  <c r="C39"/>
  <c r="D39" s="1"/>
  <c r="E39" s="1"/>
  <c r="F39" s="1"/>
  <c r="G39" s="1"/>
  <c r="H39" s="1"/>
  <c r="I39" s="1"/>
  <c r="J39" s="1"/>
  <c r="K39" s="1"/>
  <c r="L39" s="1"/>
  <c r="M39" s="1"/>
  <c r="N39" s="1"/>
  <c r="C40"/>
  <c r="D40" s="1"/>
  <c r="E40" s="1"/>
  <c r="F40" s="1"/>
  <c r="G40" s="1"/>
  <c r="H40" s="1"/>
  <c r="I40" s="1"/>
  <c r="J40" s="1"/>
  <c r="K40" s="1"/>
  <c r="L40" s="1"/>
  <c r="M40" s="1"/>
  <c r="N40" s="1"/>
  <c r="C41"/>
  <c r="D41" s="1"/>
  <c r="E41" s="1"/>
  <c r="F41" s="1"/>
  <c r="G41" s="1"/>
  <c r="H41" s="1"/>
  <c r="I41" s="1"/>
  <c r="J41" s="1"/>
  <c r="K41" s="1"/>
  <c r="L41" s="1"/>
  <c r="M41" s="1"/>
  <c r="N41" s="1"/>
  <c r="C42"/>
  <c r="D42" s="1"/>
  <c r="E42" s="1"/>
  <c r="F42" s="1"/>
  <c r="G42" s="1"/>
  <c r="H42" s="1"/>
  <c r="I42" s="1"/>
  <c r="J42" s="1"/>
  <c r="K42" s="1"/>
  <c r="L42" s="1"/>
  <c r="M42" s="1"/>
  <c r="N42" s="1"/>
  <c r="C43"/>
  <c r="D43" s="1"/>
  <c r="E43" s="1"/>
  <c r="F43" s="1"/>
  <c r="G43" s="1"/>
  <c r="H43" s="1"/>
  <c r="I43" s="1"/>
  <c r="J43" s="1"/>
  <c r="K43" s="1"/>
  <c r="L43" s="1"/>
  <c r="M43" s="1"/>
  <c r="N43" s="1"/>
  <c r="C44"/>
  <c r="D44" s="1"/>
  <c r="E44" s="1"/>
  <c r="F44" s="1"/>
  <c r="G44" s="1"/>
  <c r="H44" s="1"/>
  <c r="I44" s="1"/>
  <c r="J44" s="1"/>
  <c r="K44" s="1"/>
  <c r="L44" s="1"/>
  <c r="M44" s="1"/>
  <c r="N44" s="1"/>
  <c r="C45"/>
  <c r="D45" s="1"/>
  <c r="E45" s="1"/>
  <c r="F45" s="1"/>
  <c r="G45" s="1"/>
  <c r="H45" s="1"/>
  <c r="I45" s="1"/>
  <c r="J45" s="1"/>
  <c r="K45" s="1"/>
  <c r="L45" s="1"/>
  <c r="M45" s="1"/>
  <c r="N45" s="1"/>
  <c r="C46"/>
  <c r="D46" s="1"/>
  <c r="E46" s="1"/>
  <c r="F46" s="1"/>
  <c r="G46" s="1"/>
  <c r="H46" s="1"/>
  <c r="I46" s="1"/>
  <c r="J46" s="1"/>
  <c r="K46" s="1"/>
  <c r="L46" s="1"/>
  <c r="M46" s="1"/>
  <c r="N46" s="1"/>
  <c r="C47"/>
  <c r="D47" s="1"/>
  <c r="E47" s="1"/>
  <c r="F47" s="1"/>
  <c r="G47" s="1"/>
  <c r="H47" s="1"/>
  <c r="I47" s="1"/>
  <c r="J47" s="1"/>
  <c r="K47" s="1"/>
  <c r="L47" s="1"/>
  <c r="M47" s="1"/>
  <c r="N47" s="1"/>
  <c r="C48"/>
  <c r="D48" s="1"/>
  <c r="E48" s="1"/>
  <c r="F48" s="1"/>
  <c r="G48" s="1"/>
  <c r="H48" s="1"/>
  <c r="I48" s="1"/>
  <c r="J48" s="1"/>
  <c r="K48" s="1"/>
  <c r="L48" s="1"/>
  <c r="M48" s="1"/>
  <c r="N48" s="1"/>
  <c r="C49"/>
  <c r="D49" s="1"/>
  <c r="E49" s="1"/>
  <c r="F49" s="1"/>
  <c r="G49" s="1"/>
  <c r="H49" s="1"/>
  <c r="I49" s="1"/>
  <c r="J49" s="1"/>
  <c r="K49" s="1"/>
  <c r="L49" s="1"/>
  <c r="M49" s="1"/>
  <c r="N49" s="1"/>
  <c r="C50"/>
  <c r="D50" s="1"/>
  <c r="E50" s="1"/>
  <c r="F50" s="1"/>
  <c r="G50" s="1"/>
  <c r="H50" s="1"/>
  <c r="I50" s="1"/>
  <c r="J50" s="1"/>
  <c r="K50" s="1"/>
  <c r="L50" s="1"/>
  <c r="M50" s="1"/>
  <c r="N50" s="1"/>
  <c r="C51"/>
  <c r="D51" s="1"/>
  <c r="E51" s="1"/>
  <c r="F51" s="1"/>
  <c r="G51" s="1"/>
  <c r="H51" s="1"/>
  <c r="I51" s="1"/>
  <c r="J51" s="1"/>
  <c r="K51" s="1"/>
  <c r="L51" s="1"/>
  <c r="M51" s="1"/>
  <c r="N51" s="1"/>
  <c r="C52"/>
  <c r="D52" s="1"/>
  <c r="E52" s="1"/>
  <c r="F52" s="1"/>
  <c r="G52" s="1"/>
  <c r="H52" s="1"/>
  <c r="I52" s="1"/>
  <c r="J52" s="1"/>
  <c r="K52" s="1"/>
  <c r="L52" s="1"/>
  <c r="M52" s="1"/>
  <c r="N52" s="1"/>
  <c r="C53"/>
  <c r="D53" s="1"/>
  <c r="E53" s="1"/>
  <c r="F53" s="1"/>
  <c r="G53" s="1"/>
  <c r="H53" s="1"/>
  <c r="I53" s="1"/>
  <c r="J53" s="1"/>
  <c r="K53" s="1"/>
  <c r="L53" s="1"/>
  <c r="M53" s="1"/>
  <c r="N53" s="1"/>
  <c r="C54"/>
  <c r="D54" s="1"/>
  <c r="E54" s="1"/>
  <c r="F54" s="1"/>
  <c r="G54" s="1"/>
  <c r="H54" s="1"/>
  <c r="I54" s="1"/>
  <c r="J54" s="1"/>
  <c r="K54" s="1"/>
  <c r="L54" s="1"/>
  <c r="M54" s="1"/>
  <c r="N54" s="1"/>
  <c r="C55"/>
  <c r="D55" s="1"/>
  <c r="E55" s="1"/>
  <c r="F55" s="1"/>
  <c r="G55" s="1"/>
  <c r="H55" s="1"/>
  <c r="I55" s="1"/>
  <c r="J55" s="1"/>
  <c r="K55" s="1"/>
  <c r="L55" s="1"/>
  <c r="M55" s="1"/>
  <c r="N55" s="1"/>
  <c r="C56"/>
  <c r="D56" s="1"/>
  <c r="E56" s="1"/>
  <c r="F56" s="1"/>
  <c r="G56" s="1"/>
  <c r="H56" s="1"/>
  <c r="I56" s="1"/>
  <c r="J56" s="1"/>
  <c r="K56" s="1"/>
  <c r="L56" s="1"/>
  <c r="M56" s="1"/>
  <c r="N56" s="1"/>
  <c r="C57"/>
  <c r="D57" s="1"/>
  <c r="E57" s="1"/>
  <c r="F57" s="1"/>
  <c r="G57" s="1"/>
  <c r="H57" s="1"/>
  <c r="I57" s="1"/>
  <c r="J57" s="1"/>
  <c r="K57" s="1"/>
  <c r="L57" s="1"/>
  <c r="M57" s="1"/>
  <c r="N57" s="1"/>
  <c r="C58"/>
  <c r="D58" s="1"/>
  <c r="E58" s="1"/>
  <c r="F58" s="1"/>
  <c r="G58" s="1"/>
  <c r="H58" s="1"/>
  <c r="I58" s="1"/>
  <c r="J58" s="1"/>
  <c r="K58" s="1"/>
  <c r="L58" s="1"/>
  <c r="M58" s="1"/>
  <c r="N58" s="1"/>
  <c r="C59"/>
  <c r="D59" s="1"/>
  <c r="E59" s="1"/>
  <c r="F59" s="1"/>
  <c r="G59" s="1"/>
  <c r="H59" s="1"/>
  <c r="I59" s="1"/>
  <c r="J59" s="1"/>
  <c r="K59" s="1"/>
  <c r="L59" s="1"/>
  <c r="M59" s="1"/>
  <c r="N59" s="1"/>
  <c r="C60"/>
  <c r="D60" s="1"/>
  <c r="E60" s="1"/>
  <c r="F60" s="1"/>
  <c r="G60" s="1"/>
  <c r="H60" s="1"/>
  <c r="I60" s="1"/>
  <c r="J60" s="1"/>
  <c r="K60" s="1"/>
  <c r="L60" s="1"/>
  <c r="M60" s="1"/>
  <c r="N60" s="1"/>
  <c r="C61"/>
  <c r="D61" s="1"/>
  <c r="E61" s="1"/>
  <c r="F61" s="1"/>
  <c r="G61" s="1"/>
  <c r="H61" s="1"/>
  <c r="I61" s="1"/>
  <c r="J61" s="1"/>
  <c r="K61" s="1"/>
  <c r="L61" s="1"/>
  <c r="M61" s="1"/>
  <c r="N61" s="1"/>
  <c r="C62"/>
  <c r="D62" s="1"/>
  <c r="E62" s="1"/>
  <c r="F62" s="1"/>
  <c r="G62" s="1"/>
  <c r="H62" s="1"/>
  <c r="I62" s="1"/>
  <c r="J62" s="1"/>
  <c r="K62" s="1"/>
  <c r="L62" s="1"/>
  <c r="M62" s="1"/>
  <c r="N62" s="1"/>
  <c r="C63"/>
  <c r="D63" s="1"/>
  <c r="E63" s="1"/>
  <c r="F63" s="1"/>
  <c r="G63" s="1"/>
  <c r="H63" s="1"/>
  <c r="I63" s="1"/>
  <c r="J63" s="1"/>
  <c r="K63" s="1"/>
  <c r="L63" s="1"/>
  <c r="M63" s="1"/>
  <c r="N63" s="1"/>
  <c r="C64"/>
  <c r="D64" s="1"/>
  <c r="E64" s="1"/>
  <c r="F64" s="1"/>
  <c r="G64" s="1"/>
  <c r="H64" s="1"/>
  <c r="I64" s="1"/>
  <c r="J64" s="1"/>
  <c r="K64" s="1"/>
  <c r="L64" s="1"/>
  <c r="M64" s="1"/>
  <c r="N64" s="1"/>
  <c r="C65"/>
  <c r="D65" s="1"/>
  <c r="E65" s="1"/>
  <c r="F65" s="1"/>
  <c r="G65" s="1"/>
  <c r="H65" s="1"/>
  <c r="I65" s="1"/>
  <c r="J65" s="1"/>
  <c r="K65" s="1"/>
  <c r="L65" s="1"/>
  <c r="M65" s="1"/>
  <c r="N65" s="1"/>
  <c r="C66"/>
  <c r="D66" s="1"/>
  <c r="E66" s="1"/>
  <c r="F66" s="1"/>
  <c r="G66" s="1"/>
  <c r="H66" s="1"/>
  <c r="I66" s="1"/>
  <c r="J66" s="1"/>
  <c r="K66" s="1"/>
  <c r="L66" s="1"/>
  <c r="M66" s="1"/>
  <c r="N66" s="1"/>
  <c r="C67"/>
  <c r="D67" s="1"/>
  <c r="E67" s="1"/>
  <c r="F67" s="1"/>
  <c r="G67" s="1"/>
  <c r="H67" s="1"/>
  <c r="I67" s="1"/>
  <c r="J67" s="1"/>
  <c r="K67" s="1"/>
  <c r="L67" s="1"/>
  <c r="M67" s="1"/>
  <c r="N67" s="1"/>
  <c r="C68"/>
  <c r="D68" s="1"/>
  <c r="E68" s="1"/>
  <c r="F68" s="1"/>
  <c r="G68" s="1"/>
  <c r="H68" s="1"/>
  <c r="I68" s="1"/>
  <c r="J68" s="1"/>
  <c r="K68" s="1"/>
  <c r="L68" s="1"/>
  <c r="M68" s="1"/>
  <c r="N68" s="1"/>
  <c r="C69"/>
  <c r="D69" s="1"/>
  <c r="E69" s="1"/>
  <c r="F69" s="1"/>
  <c r="G69" s="1"/>
  <c r="H69" s="1"/>
  <c r="I69" s="1"/>
  <c r="J69" s="1"/>
  <c r="K69" s="1"/>
  <c r="L69" s="1"/>
  <c r="M69" s="1"/>
  <c r="N69" s="1"/>
  <c r="C70"/>
  <c r="D70" s="1"/>
  <c r="E70" s="1"/>
  <c r="F70" s="1"/>
  <c r="G70" s="1"/>
  <c r="H70" s="1"/>
  <c r="I70" s="1"/>
  <c r="J70" s="1"/>
  <c r="K70" s="1"/>
  <c r="L70" s="1"/>
  <c r="M70" s="1"/>
  <c r="N70" s="1"/>
  <c r="C71"/>
  <c r="D71" s="1"/>
  <c r="E71" s="1"/>
  <c r="F71" s="1"/>
  <c r="G71" s="1"/>
  <c r="H71" s="1"/>
  <c r="I71" s="1"/>
  <c r="J71" s="1"/>
  <c r="K71" s="1"/>
  <c r="L71" s="1"/>
  <c r="M71" s="1"/>
  <c r="N71" s="1"/>
  <c r="C72"/>
  <c r="D72" s="1"/>
  <c r="E72" s="1"/>
  <c r="F72" s="1"/>
  <c r="G72" s="1"/>
  <c r="H72" s="1"/>
  <c r="I72" s="1"/>
  <c r="J72" s="1"/>
  <c r="K72" s="1"/>
  <c r="L72" s="1"/>
  <c r="M72" s="1"/>
  <c r="N72" s="1"/>
  <c r="C73"/>
  <c r="D73" s="1"/>
  <c r="E73" s="1"/>
  <c r="F73" s="1"/>
  <c r="G73" s="1"/>
  <c r="H73" s="1"/>
  <c r="I73" s="1"/>
  <c r="J73" s="1"/>
  <c r="K73" s="1"/>
  <c r="L73" s="1"/>
  <c r="M73" s="1"/>
  <c r="N73" s="1"/>
  <c r="C74"/>
  <c r="D74" s="1"/>
  <c r="E74" s="1"/>
  <c r="F74" s="1"/>
  <c r="G74" s="1"/>
  <c r="H74" s="1"/>
  <c r="I74" s="1"/>
  <c r="J74" s="1"/>
  <c r="K74" s="1"/>
  <c r="L74" s="1"/>
  <c r="M74" s="1"/>
  <c r="N74" s="1"/>
  <c r="C75"/>
  <c r="D75" s="1"/>
  <c r="E75" s="1"/>
  <c r="F75" s="1"/>
  <c r="G75" s="1"/>
  <c r="H75" s="1"/>
  <c r="I75" s="1"/>
  <c r="J75" s="1"/>
  <c r="K75" s="1"/>
  <c r="L75" s="1"/>
  <c r="M75" s="1"/>
  <c r="N75" s="1"/>
  <c r="C76"/>
  <c r="D76" s="1"/>
  <c r="E76" s="1"/>
  <c r="F76" s="1"/>
  <c r="G76" s="1"/>
  <c r="H76" s="1"/>
  <c r="I76" s="1"/>
  <c r="J76" s="1"/>
  <c r="K76" s="1"/>
  <c r="L76" s="1"/>
  <c r="M76" s="1"/>
  <c r="N76" s="1"/>
  <c r="C77"/>
  <c r="D77" s="1"/>
  <c r="E77" s="1"/>
  <c r="F77" s="1"/>
  <c r="G77" s="1"/>
  <c r="H77" s="1"/>
  <c r="I77" s="1"/>
  <c r="J77" s="1"/>
  <c r="K77" s="1"/>
  <c r="L77" s="1"/>
  <c r="M77" s="1"/>
  <c r="N77" s="1"/>
  <c r="C78"/>
  <c r="D78" s="1"/>
  <c r="E78" s="1"/>
  <c r="F78" s="1"/>
  <c r="G78" s="1"/>
  <c r="H78" s="1"/>
  <c r="I78" s="1"/>
  <c r="J78" s="1"/>
  <c r="K78" s="1"/>
  <c r="L78" s="1"/>
  <c r="M78" s="1"/>
  <c r="N78" s="1"/>
  <c r="C79"/>
  <c r="D79" s="1"/>
  <c r="E79" s="1"/>
  <c r="F79" s="1"/>
  <c r="G79" s="1"/>
  <c r="H79" s="1"/>
  <c r="I79" s="1"/>
  <c r="J79" s="1"/>
  <c r="K79" s="1"/>
  <c r="L79" s="1"/>
  <c r="M79" s="1"/>
  <c r="N79" s="1"/>
  <c r="C80"/>
  <c r="D80" s="1"/>
  <c r="E80" s="1"/>
  <c r="F80" s="1"/>
  <c r="G80" s="1"/>
  <c r="H80" s="1"/>
  <c r="I80" s="1"/>
  <c r="J80" s="1"/>
  <c r="K80" s="1"/>
  <c r="L80" s="1"/>
  <c r="M80" s="1"/>
  <c r="N80" s="1"/>
  <c r="C81"/>
  <c r="D81" s="1"/>
  <c r="E81" s="1"/>
  <c r="F81" s="1"/>
  <c r="G81" s="1"/>
  <c r="H81" s="1"/>
  <c r="I81" s="1"/>
  <c r="J81" s="1"/>
  <c r="K81" s="1"/>
  <c r="L81" s="1"/>
  <c r="M81" s="1"/>
  <c r="N81" s="1"/>
  <c r="C82"/>
  <c r="D82" s="1"/>
  <c r="E82" s="1"/>
  <c r="F82" s="1"/>
  <c r="G82" s="1"/>
  <c r="H82" s="1"/>
  <c r="I82" s="1"/>
  <c r="J82" s="1"/>
  <c r="K82" s="1"/>
  <c r="L82" s="1"/>
  <c r="M82" s="1"/>
  <c r="N82" s="1"/>
  <c r="C83"/>
  <c r="D83" s="1"/>
  <c r="E83" s="1"/>
  <c r="F83" s="1"/>
  <c r="G83" s="1"/>
  <c r="H83" s="1"/>
  <c r="I83" s="1"/>
  <c r="J83" s="1"/>
  <c r="K83" s="1"/>
  <c r="L83" s="1"/>
  <c r="M83" s="1"/>
  <c r="N83" s="1"/>
  <c r="C84"/>
  <c r="D84" s="1"/>
  <c r="E84" s="1"/>
  <c r="F84" s="1"/>
  <c r="G84" s="1"/>
  <c r="H84" s="1"/>
  <c r="I84" s="1"/>
  <c r="J84" s="1"/>
  <c r="K84" s="1"/>
  <c r="L84" s="1"/>
  <c r="M84" s="1"/>
  <c r="N84" s="1"/>
  <c r="C85"/>
  <c r="D85" s="1"/>
  <c r="E85" s="1"/>
  <c r="F85" s="1"/>
  <c r="G85" s="1"/>
  <c r="H85" s="1"/>
  <c r="I85" s="1"/>
  <c r="J85" s="1"/>
  <c r="K85" s="1"/>
  <c r="L85" s="1"/>
  <c r="M85" s="1"/>
  <c r="N85" s="1"/>
  <c r="C86"/>
  <c r="D86" s="1"/>
  <c r="E86" s="1"/>
  <c r="F86" s="1"/>
  <c r="G86" s="1"/>
  <c r="H86" s="1"/>
  <c r="I86" s="1"/>
  <c r="J86" s="1"/>
  <c r="K86" s="1"/>
  <c r="L86" s="1"/>
  <c r="M86" s="1"/>
  <c r="N86" s="1"/>
  <c r="C87"/>
  <c r="D87" s="1"/>
  <c r="E87" s="1"/>
  <c r="F87" s="1"/>
  <c r="G87" s="1"/>
  <c r="H87" s="1"/>
  <c r="I87" s="1"/>
  <c r="J87" s="1"/>
  <c r="K87" s="1"/>
  <c r="L87" s="1"/>
  <c r="M87" s="1"/>
  <c r="N87" s="1"/>
  <c r="C88"/>
  <c r="D88" s="1"/>
  <c r="E88" s="1"/>
  <c r="F88" s="1"/>
  <c r="G88" s="1"/>
  <c r="H88" s="1"/>
  <c r="I88" s="1"/>
  <c r="J88" s="1"/>
  <c r="K88" s="1"/>
  <c r="L88" s="1"/>
  <c r="M88" s="1"/>
  <c r="N88" s="1"/>
  <c r="C89"/>
  <c r="D89" s="1"/>
  <c r="E89" s="1"/>
  <c r="F89" s="1"/>
  <c r="G89" s="1"/>
  <c r="H89" s="1"/>
  <c r="I89" s="1"/>
  <c r="J89" s="1"/>
  <c r="K89" s="1"/>
  <c r="L89" s="1"/>
  <c r="M89" s="1"/>
  <c r="N89" s="1"/>
  <c r="C90"/>
  <c r="D90" s="1"/>
  <c r="E90" s="1"/>
  <c r="F90" s="1"/>
  <c r="G90" s="1"/>
  <c r="H90" s="1"/>
  <c r="I90" s="1"/>
  <c r="J90" s="1"/>
  <c r="K90" s="1"/>
  <c r="L90" s="1"/>
  <c r="M90" s="1"/>
  <c r="N90" s="1"/>
  <c r="C91"/>
  <c r="D91" s="1"/>
  <c r="E91" s="1"/>
  <c r="F91" s="1"/>
  <c r="G91" s="1"/>
  <c r="H91" s="1"/>
  <c r="I91" s="1"/>
  <c r="J91" s="1"/>
  <c r="K91" s="1"/>
  <c r="L91" s="1"/>
  <c r="M91" s="1"/>
  <c r="N91" s="1"/>
  <c r="C92"/>
  <c r="D92" s="1"/>
  <c r="E92" s="1"/>
  <c r="F92" s="1"/>
  <c r="G92" s="1"/>
  <c r="H92" s="1"/>
  <c r="I92" s="1"/>
  <c r="J92" s="1"/>
  <c r="K92" s="1"/>
  <c r="L92" s="1"/>
  <c r="M92" s="1"/>
  <c r="N92" s="1"/>
  <c r="C93"/>
  <c r="D93" s="1"/>
  <c r="E93" s="1"/>
  <c r="F93" s="1"/>
  <c r="G93" s="1"/>
  <c r="H93" s="1"/>
  <c r="I93" s="1"/>
  <c r="J93" s="1"/>
  <c r="K93" s="1"/>
  <c r="L93" s="1"/>
  <c r="M93" s="1"/>
  <c r="N93" s="1"/>
  <c r="C94"/>
  <c r="D94" s="1"/>
  <c r="E94" s="1"/>
  <c r="F94" s="1"/>
  <c r="G94" s="1"/>
  <c r="H94" s="1"/>
  <c r="I94" s="1"/>
  <c r="J94" s="1"/>
  <c r="K94" s="1"/>
  <c r="L94" s="1"/>
  <c r="M94" s="1"/>
  <c r="N94" s="1"/>
  <c r="C95"/>
  <c r="D95" s="1"/>
  <c r="E95" s="1"/>
  <c r="F95" s="1"/>
  <c r="G95" s="1"/>
  <c r="H95" s="1"/>
  <c r="I95" s="1"/>
  <c r="J95" s="1"/>
  <c r="K95" s="1"/>
  <c r="L95" s="1"/>
  <c r="M95" s="1"/>
  <c r="N95" s="1"/>
  <c r="C96"/>
  <c r="D96" s="1"/>
  <c r="E96" s="1"/>
  <c r="F96" s="1"/>
  <c r="G96" s="1"/>
  <c r="H96" s="1"/>
  <c r="I96" s="1"/>
  <c r="J96" s="1"/>
  <c r="K96" s="1"/>
  <c r="L96" s="1"/>
  <c r="M96" s="1"/>
  <c r="N96" s="1"/>
  <c r="C97"/>
  <c r="D97" s="1"/>
  <c r="E97" s="1"/>
  <c r="F97" s="1"/>
  <c r="G97" s="1"/>
  <c r="H97" s="1"/>
  <c r="I97" s="1"/>
  <c r="J97" s="1"/>
  <c r="K97" s="1"/>
  <c r="L97" s="1"/>
  <c r="M97" s="1"/>
  <c r="N97" s="1"/>
  <c r="C98"/>
  <c r="D98" s="1"/>
  <c r="E98" s="1"/>
  <c r="F98" s="1"/>
  <c r="G98" s="1"/>
  <c r="H98" s="1"/>
  <c r="I98" s="1"/>
  <c r="J98" s="1"/>
  <c r="K98" s="1"/>
  <c r="L98" s="1"/>
  <c r="M98" s="1"/>
  <c r="N98" s="1"/>
  <c r="C99"/>
  <c r="D99" s="1"/>
  <c r="E99" s="1"/>
  <c r="F99" s="1"/>
  <c r="G99" s="1"/>
  <c r="H99" s="1"/>
  <c r="I99" s="1"/>
  <c r="J99" s="1"/>
  <c r="K99" s="1"/>
  <c r="L99" s="1"/>
  <c r="M99" s="1"/>
  <c r="N99" s="1"/>
  <c r="C100"/>
  <c r="D100" s="1"/>
  <c r="E100" s="1"/>
  <c r="F100" s="1"/>
  <c r="G100" s="1"/>
  <c r="H100" s="1"/>
  <c r="I100" s="1"/>
  <c r="J100" s="1"/>
  <c r="K100" s="1"/>
  <c r="L100" s="1"/>
  <c r="M100" s="1"/>
  <c r="N100" s="1"/>
  <c r="C101"/>
  <c r="D101" s="1"/>
  <c r="E101" s="1"/>
  <c r="F101" s="1"/>
  <c r="G101" s="1"/>
  <c r="H101" s="1"/>
  <c r="I101" s="1"/>
  <c r="J101" s="1"/>
  <c r="K101" s="1"/>
  <c r="L101" s="1"/>
  <c r="M101" s="1"/>
  <c r="N101" s="1"/>
  <c r="C102"/>
  <c r="D102" s="1"/>
  <c r="E102" s="1"/>
  <c r="F102" s="1"/>
  <c r="G102" s="1"/>
  <c r="H102" s="1"/>
  <c r="I102" s="1"/>
  <c r="J102" s="1"/>
  <c r="K102" s="1"/>
  <c r="L102" s="1"/>
  <c r="M102" s="1"/>
  <c r="N102" s="1"/>
  <c r="C103"/>
  <c r="D103" s="1"/>
  <c r="E103" s="1"/>
  <c r="F103" s="1"/>
  <c r="G103" s="1"/>
  <c r="H103" s="1"/>
  <c r="I103" s="1"/>
  <c r="J103" s="1"/>
  <c r="K103" s="1"/>
  <c r="L103" s="1"/>
  <c r="M103" s="1"/>
  <c r="N103" s="1"/>
  <c r="C104"/>
  <c r="D104" s="1"/>
  <c r="E104" s="1"/>
  <c r="F104" s="1"/>
  <c r="G104" s="1"/>
  <c r="H104" s="1"/>
  <c r="I104" s="1"/>
  <c r="J104" s="1"/>
  <c r="K104" s="1"/>
  <c r="L104" s="1"/>
  <c r="M104" s="1"/>
  <c r="N104" s="1"/>
  <c r="C105"/>
  <c r="D105" s="1"/>
  <c r="E105" s="1"/>
  <c r="F105" s="1"/>
  <c r="G105" s="1"/>
  <c r="H105" s="1"/>
  <c r="I105" s="1"/>
  <c r="J105" s="1"/>
  <c r="K105" s="1"/>
  <c r="L105" s="1"/>
  <c r="M105" s="1"/>
  <c r="N105" s="1"/>
  <c r="C106"/>
  <c r="D106" s="1"/>
  <c r="E106" s="1"/>
  <c r="F106" s="1"/>
  <c r="G106" s="1"/>
  <c r="H106" s="1"/>
  <c r="I106" s="1"/>
  <c r="J106" s="1"/>
  <c r="K106" s="1"/>
  <c r="L106" s="1"/>
  <c r="M106" s="1"/>
  <c r="N106" s="1"/>
  <c r="C107"/>
  <c r="D107" s="1"/>
  <c r="E107" s="1"/>
  <c r="F107" s="1"/>
  <c r="G107" s="1"/>
  <c r="H107" s="1"/>
  <c r="I107" s="1"/>
  <c r="J107" s="1"/>
  <c r="K107" s="1"/>
  <c r="L107" s="1"/>
  <c r="M107" s="1"/>
  <c r="N107" s="1"/>
  <c r="C108"/>
  <c r="D108" s="1"/>
  <c r="E108" s="1"/>
  <c r="F108" s="1"/>
  <c r="G108" s="1"/>
  <c r="H108" s="1"/>
  <c r="I108" s="1"/>
  <c r="J108" s="1"/>
  <c r="K108" s="1"/>
  <c r="L108" s="1"/>
  <c r="M108" s="1"/>
  <c r="N108" s="1"/>
  <c r="D12" i="2"/>
  <c r="E12"/>
  <c r="F12"/>
  <c r="G12"/>
  <c r="H12"/>
  <c r="I12"/>
  <c r="J12"/>
  <c r="K12"/>
  <c r="L12"/>
  <c r="M12"/>
  <c r="N12"/>
  <c r="N49"/>
  <c r="M49"/>
  <c r="L49"/>
  <c r="K49"/>
  <c r="J49"/>
  <c r="I49"/>
  <c r="H49"/>
  <c r="G49"/>
  <c r="F49"/>
  <c r="E49"/>
  <c r="D49"/>
  <c r="C49"/>
  <c r="N50"/>
  <c r="M50"/>
  <c r="L50"/>
  <c r="K50"/>
  <c r="J50"/>
  <c r="I50"/>
  <c r="H50"/>
  <c r="G50"/>
  <c r="F50"/>
  <c r="E50"/>
  <c r="D50"/>
  <c r="C50"/>
  <c r="N51"/>
  <c r="M51"/>
  <c r="L51"/>
  <c r="K51"/>
  <c r="J51"/>
  <c r="I51"/>
  <c r="H51"/>
  <c r="G51"/>
  <c r="F51"/>
  <c r="E51"/>
  <c r="D51"/>
  <c r="C51"/>
  <c r="N52"/>
  <c r="M52"/>
  <c r="L52"/>
  <c r="K52"/>
  <c r="J52"/>
  <c r="I52"/>
  <c r="H52"/>
  <c r="G52"/>
  <c r="F52"/>
  <c r="E52"/>
  <c r="D52"/>
  <c r="C52"/>
  <c r="N53"/>
  <c r="M53"/>
  <c r="L53"/>
  <c r="K53"/>
  <c r="J53"/>
  <c r="I53"/>
  <c r="H53"/>
  <c r="G53"/>
  <c r="F53"/>
  <c r="E53"/>
  <c r="D53"/>
  <c r="C53"/>
  <c r="N54"/>
  <c r="M54"/>
  <c r="L54"/>
  <c r="K54"/>
  <c r="J54"/>
  <c r="I54"/>
  <c r="H54"/>
  <c r="G54"/>
  <c r="F54"/>
  <c r="E54"/>
  <c r="D54"/>
  <c r="C54"/>
  <c r="N55"/>
  <c r="M55"/>
  <c r="L55"/>
  <c r="K55"/>
  <c r="J55"/>
  <c r="I55"/>
  <c r="H55"/>
  <c r="G55"/>
  <c r="F55"/>
  <c r="E55"/>
  <c r="D55"/>
  <c r="C55"/>
  <c r="N56"/>
  <c r="M56"/>
  <c r="L56"/>
  <c r="K56"/>
  <c r="J56"/>
  <c r="I56"/>
  <c r="H56"/>
  <c r="G56"/>
  <c r="F56"/>
  <c r="E56"/>
  <c r="D56"/>
  <c r="C56"/>
  <c r="N57"/>
  <c r="M57"/>
  <c r="L57"/>
  <c r="K57"/>
  <c r="J57"/>
  <c r="I57"/>
  <c r="H57"/>
  <c r="G57"/>
  <c r="F57"/>
  <c r="E57"/>
  <c r="D57"/>
  <c r="C57"/>
  <c r="N58"/>
  <c r="M58"/>
  <c r="L58"/>
  <c r="K58"/>
  <c r="J58"/>
  <c r="I58"/>
  <c r="H58"/>
  <c r="G58"/>
  <c r="F58"/>
  <c r="E58"/>
  <c r="D58"/>
  <c r="C58"/>
  <c r="N59"/>
  <c r="M59"/>
  <c r="L59"/>
  <c r="K59"/>
  <c r="J59"/>
  <c r="I59"/>
  <c r="H59"/>
  <c r="G59"/>
  <c r="F59"/>
  <c r="E59"/>
  <c r="D59"/>
  <c r="C59"/>
  <c r="N60"/>
  <c r="M60"/>
  <c r="L60"/>
  <c r="K60"/>
  <c r="J60"/>
  <c r="I60"/>
  <c r="H60"/>
  <c r="G60"/>
  <c r="F60"/>
  <c r="E60"/>
  <c r="D60"/>
  <c r="C60"/>
  <c r="N61"/>
  <c r="M61"/>
  <c r="L61"/>
  <c r="K61"/>
  <c r="J61"/>
  <c r="I61"/>
  <c r="H61"/>
  <c r="G61"/>
  <c r="F61"/>
  <c r="E61"/>
  <c r="D61"/>
  <c r="C61"/>
  <c r="N62"/>
  <c r="M62"/>
  <c r="L62"/>
  <c r="K62"/>
  <c r="J62"/>
  <c r="I62"/>
  <c r="H62"/>
  <c r="G62"/>
  <c r="F62"/>
  <c r="E62"/>
  <c r="D62"/>
  <c r="C62"/>
  <c r="N63"/>
  <c r="M63"/>
  <c r="L63"/>
  <c r="K63"/>
  <c r="J63"/>
  <c r="I63"/>
  <c r="H63"/>
  <c r="G63"/>
  <c r="F63"/>
  <c r="E63"/>
  <c r="D63"/>
  <c r="C63"/>
  <c r="N64"/>
  <c r="M64"/>
  <c r="L64"/>
  <c r="K64"/>
  <c r="J64"/>
  <c r="I64"/>
  <c r="H64"/>
  <c r="G64"/>
  <c r="F64"/>
  <c r="E64"/>
  <c r="D64"/>
  <c r="C64"/>
  <c r="N65"/>
  <c r="M65"/>
  <c r="L65"/>
  <c r="K65"/>
  <c r="J65"/>
  <c r="I65"/>
  <c r="H65"/>
  <c r="G65"/>
  <c r="F65"/>
  <c r="E65"/>
  <c r="D65"/>
  <c r="C65"/>
  <c r="N66"/>
  <c r="M66"/>
  <c r="L66"/>
  <c r="K66"/>
  <c r="J66"/>
  <c r="I66"/>
  <c r="H66"/>
  <c r="G66"/>
  <c r="F66"/>
  <c r="E66"/>
  <c r="D66"/>
  <c r="C66"/>
  <c r="N67"/>
  <c r="M67"/>
  <c r="L67"/>
  <c r="K67"/>
  <c r="J67"/>
  <c r="I67"/>
  <c r="H67"/>
  <c r="G67"/>
  <c r="F67"/>
  <c r="E67"/>
  <c r="D67"/>
  <c r="C67"/>
  <c r="N68"/>
  <c r="M68"/>
  <c r="L68"/>
  <c r="K68"/>
  <c r="J68"/>
  <c r="I68"/>
  <c r="H68"/>
  <c r="G68"/>
  <c r="F68"/>
  <c r="E68"/>
  <c r="D68"/>
  <c r="C68"/>
  <c r="N69"/>
  <c r="M69"/>
  <c r="L69"/>
  <c r="K69"/>
  <c r="J69"/>
  <c r="I69"/>
  <c r="H69"/>
  <c r="G69"/>
  <c r="F69"/>
  <c r="E69"/>
  <c r="D69"/>
  <c r="C69"/>
  <c r="N70"/>
  <c r="M70"/>
  <c r="L70"/>
  <c r="K70"/>
  <c r="J70"/>
  <c r="I70"/>
  <c r="H70"/>
  <c r="G70"/>
  <c r="F70"/>
  <c r="E70"/>
  <c r="D70"/>
  <c r="C70"/>
  <c r="N71"/>
  <c r="M71"/>
  <c r="L71"/>
  <c r="K71"/>
  <c r="J71"/>
  <c r="I71"/>
  <c r="H71"/>
  <c r="G71"/>
  <c r="F71"/>
  <c r="E71"/>
  <c r="D71"/>
  <c r="C71"/>
  <c r="N72"/>
  <c r="M72"/>
  <c r="L72"/>
  <c r="K72"/>
  <c r="J72"/>
  <c r="I72"/>
  <c r="H72"/>
  <c r="G72"/>
  <c r="F72"/>
  <c r="E72"/>
  <c r="D72"/>
  <c r="C72"/>
  <c r="N73"/>
  <c r="M73"/>
  <c r="L73"/>
  <c r="K73"/>
  <c r="J73"/>
  <c r="I73"/>
  <c r="H73"/>
  <c r="G73"/>
  <c r="F73"/>
  <c r="E73"/>
  <c r="D73"/>
  <c r="C73"/>
  <c r="N74"/>
  <c r="M74"/>
  <c r="L74"/>
  <c r="K74"/>
  <c r="J74"/>
  <c r="I74"/>
  <c r="H74"/>
  <c r="G74"/>
  <c r="F74"/>
  <c r="E74"/>
  <c r="D74"/>
  <c r="C74"/>
  <c r="N75"/>
  <c r="M75"/>
  <c r="L75"/>
  <c r="K75"/>
  <c r="J75"/>
  <c r="I75"/>
  <c r="H75"/>
  <c r="G75"/>
  <c r="F75"/>
  <c r="E75"/>
  <c r="D75"/>
  <c r="C75"/>
  <c r="N76"/>
  <c r="M76"/>
  <c r="L76"/>
  <c r="K76"/>
  <c r="J76"/>
  <c r="I76"/>
  <c r="H76"/>
  <c r="G76"/>
  <c r="F76"/>
  <c r="E76"/>
  <c r="D76"/>
  <c r="C76"/>
  <c r="N77"/>
  <c r="M77"/>
  <c r="L77"/>
  <c r="K77"/>
  <c r="J77"/>
  <c r="I77"/>
  <c r="H77"/>
  <c r="G77"/>
  <c r="F77"/>
  <c r="E77"/>
  <c r="D77"/>
  <c r="C77"/>
  <c r="N78"/>
  <c r="M78"/>
  <c r="L78"/>
  <c r="K78"/>
  <c r="J78"/>
  <c r="I78"/>
  <c r="H78"/>
  <c r="G78"/>
  <c r="F78"/>
  <c r="E78"/>
  <c r="D78"/>
  <c r="C78"/>
  <c r="N79"/>
  <c r="M79"/>
  <c r="L79"/>
  <c r="K79"/>
  <c r="J79"/>
  <c r="I79"/>
  <c r="H79"/>
  <c r="G79"/>
  <c r="F79"/>
  <c r="E79"/>
  <c r="D79"/>
  <c r="C79"/>
  <c r="N80"/>
  <c r="M80"/>
  <c r="L80"/>
  <c r="K80"/>
  <c r="J80"/>
  <c r="I80"/>
  <c r="H80"/>
  <c r="G80"/>
  <c r="F80"/>
  <c r="E80"/>
  <c r="D80"/>
  <c r="C80"/>
  <c r="N81"/>
  <c r="M81"/>
  <c r="L81"/>
  <c r="K81"/>
  <c r="J81"/>
  <c r="I81"/>
  <c r="H81"/>
  <c r="G81"/>
  <c r="F81"/>
  <c r="E81"/>
  <c r="D81"/>
  <c r="C81"/>
  <c r="N82"/>
  <c r="M82"/>
  <c r="L82"/>
  <c r="K82"/>
  <c r="J82"/>
  <c r="I82"/>
  <c r="H82"/>
  <c r="G82"/>
  <c r="F82"/>
  <c r="E82"/>
  <c r="D82"/>
  <c r="C82"/>
  <c r="N83"/>
  <c r="M83"/>
  <c r="L83"/>
  <c r="K83"/>
  <c r="J83"/>
  <c r="I83"/>
  <c r="H83"/>
  <c r="G83"/>
  <c r="F83"/>
  <c r="E83"/>
  <c r="D83"/>
  <c r="C83"/>
  <c r="N84"/>
  <c r="M84"/>
  <c r="L84"/>
  <c r="K84"/>
  <c r="J84"/>
  <c r="I84"/>
  <c r="H84"/>
  <c r="G84"/>
  <c r="F84"/>
  <c r="E84"/>
  <c r="D84"/>
  <c r="C84"/>
  <c r="N85"/>
  <c r="M85"/>
  <c r="L85"/>
  <c r="K85"/>
  <c r="J85"/>
  <c r="I85"/>
  <c r="H85"/>
  <c r="G85"/>
  <c r="F85"/>
  <c r="E85"/>
  <c r="D85"/>
  <c r="C85"/>
  <c r="N86"/>
  <c r="M86"/>
  <c r="L86"/>
  <c r="K86"/>
  <c r="J86"/>
  <c r="I86"/>
  <c r="H86"/>
  <c r="G86"/>
  <c r="F86"/>
  <c r="E86"/>
  <c r="D86"/>
  <c r="C86"/>
  <c r="N87"/>
  <c r="M87"/>
  <c r="L87"/>
  <c r="K87"/>
  <c r="J87"/>
  <c r="I87"/>
  <c r="H87"/>
  <c r="G87"/>
  <c r="F87"/>
  <c r="E87"/>
  <c r="D87"/>
  <c r="C87"/>
  <c r="N88"/>
  <c r="M88"/>
  <c r="L88"/>
  <c r="K88"/>
  <c r="J88"/>
  <c r="I88"/>
  <c r="H88"/>
  <c r="G88"/>
  <c r="F88"/>
  <c r="E88"/>
  <c r="D88"/>
  <c r="C88"/>
  <c r="N89"/>
  <c r="M89"/>
  <c r="L89"/>
  <c r="K89"/>
  <c r="J89"/>
  <c r="I89"/>
  <c r="H89"/>
  <c r="G89"/>
  <c r="F89"/>
  <c r="E89"/>
  <c r="D89"/>
  <c r="C89"/>
  <c r="N90"/>
  <c r="M90"/>
  <c r="L90"/>
  <c r="K90"/>
  <c r="J90"/>
  <c r="I90"/>
  <c r="H90"/>
  <c r="G90"/>
  <c r="F90"/>
  <c r="E90"/>
  <c r="D90"/>
  <c r="C90"/>
  <c r="N91"/>
  <c r="M91"/>
  <c r="L91"/>
  <c r="K91"/>
  <c r="J91"/>
  <c r="I91"/>
  <c r="H91"/>
  <c r="G91"/>
  <c r="F91"/>
  <c r="E91"/>
  <c r="D91"/>
  <c r="C91"/>
  <c r="N92"/>
  <c r="M92"/>
  <c r="L92"/>
  <c r="K92"/>
  <c r="J92"/>
  <c r="I92"/>
  <c r="H92"/>
  <c r="G92"/>
  <c r="F92"/>
  <c r="E92"/>
  <c r="D92"/>
  <c r="C92"/>
  <c r="N93"/>
  <c r="M93"/>
  <c r="L93"/>
  <c r="K93"/>
  <c r="J93"/>
  <c r="I93"/>
  <c r="H93"/>
  <c r="G93"/>
  <c r="F93"/>
  <c r="E93"/>
  <c r="D93"/>
  <c r="C93"/>
  <c r="N94"/>
  <c r="M94"/>
  <c r="L94"/>
  <c r="K94"/>
  <c r="J94"/>
  <c r="I94"/>
  <c r="H94"/>
  <c r="G94"/>
  <c r="F94"/>
  <c r="E94"/>
  <c r="D94"/>
  <c r="C94"/>
  <c r="N95"/>
  <c r="M95"/>
  <c r="L95"/>
  <c r="K95"/>
  <c r="J95"/>
  <c r="I95"/>
  <c r="H95"/>
  <c r="G95"/>
  <c r="F95"/>
  <c r="E95"/>
  <c r="D95"/>
  <c r="C95"/>
  <c r="N96"/>
  <c r="M96"/>
  <c r="L96"/>
  <c r="K96"/>
  <c r="J96"/>
  <c r="I96"/>
  <c r="H96"/>
  <c r="G96"/>
  <c r="F96"/>
  <c r="E96"/>
  <c r="D96"/>
  <c r="C96"/>
  <c r="N97"/>
  <c r="M97"/>
  <c r="L97"/>
  <c r="K97"/>
  <c r="J97"/>
  <c r="I97"/>
  <c r="H97"/>
  <c r="G97"/>
  <c r="F97"/>
  <c r="E97"/>
  <c r="D97"/>
  <c r="C97"/>
  <c r="N98"/>
  <c r="M98"/>
  <c r="L98"/>
  <c r="K98"/>
  <c r="J98"/>
  <c r="I98"/>
  <c r="H98"/>
  <c r="G98"/>
  <c r="F98"/>
  <c r="E98"/>
  <c r="D98"/>
  <c r="C98"/>
  <c r="N99"/>
  <c r="M99"/>
  <c r="L99"/>
  <c r="K99"/>
  <c r="J99"/>
  <c r="I99"/>
  <c r="H99"/>
  <c r="G99"/>
  <c r="F99"/>
  <c r="E99"/>
  <c r="D99"/>
  <c r="C99"/>
  <c r="N100"/>
  <c r="M100"/>
  <c r="L100"/>
  <c r="K100"/>
  <c r="J100"/>
  <c r="I100"/>
  <c r="H100"/>
  <c r="G100"/>
  <c r="F100"/>
  <c r="E100"/>
  <c r="D100"/>
  <c r="C100"/>
  <c r="N101"/>
  <c r="M101"/>
  <c r="L101"/>
  <c r="K101"/>
  <c r="J101"/>
  <c r="I101"/>
  <c r="H101"/>
  <c r="G101"/>
  <c r="F101"/>
  <c r="E101"/>
  <c r="D101"/>
  <c r="C101"/>
  <c r="N102"/>
  <c r="M102"/>
  <c r="L102"/>
  <c r="K102"/>
  <c r="J102"/>
  <c r="I102"/>
  <c r="H102"/>
  <c r="G102"/>
  <c r="F102"/>
  <c r="E102"/>
  <c r="D102"/>
  <c r="C102"/>
  <c r="N103"/>
  <c r="M103"/>
  <c r="L103"/>
  <c r="K103"/>
  <c r="J103"/>
  <c r="I103"/>
  <c r="H103"/>
  <c r="G103"/>
  <c r="F103"/>
  <c r="E103"/>
  <c r="D103"/>
  <c r="C103"/>
  <c r="N104"/>
  <c r="M104"/>
  <c r="L104"/>
  <c r="K104"/>
  <c r="J104"/>
  <c r="I104"/>
  <c r="H104"/>
  <c r="G104"/>
  <c r="F104"/>
  <c r="E104"/>
  <c r="D104"/>
  <c r="C104"/>
  <c r="N105"/>
  <c r="M105"/>
  <c r="L105"/>
  <c r="K105"/>
  <c r="J105"/>
  <c r="I105"/>
  <c r="H105"/>
  <c r="G105"/>
  <c r="F105"/>
  <c r="E105"/>
  <c r="D105"/>
  <c r="C105"/>
  <c r="N106"/>
  <c r="M106"/>
  <c r="L106"/>
  <c r="K106"/>
  <c r="J106"/>
  <c r="I106"/>
  <c r="H106"/>
  <c r="G106"/>
  <c r="F106"/>
  <c r="E106"/>
  <c r="D106"/>
  <c r="C106"/>
  <c r="N107"/>
  <c r="M107"/>
  <c r="L107"/>
  <c r="K107"/>
  <c r="J107"/>
  <c r="I107"/>
  <c r="H107"/>
  <c r="G107"/>
  <c r="F107"/>
  <c r="E107"/>
  <c r="D107"/>
  <c r="C107"/>
  <c r="N108"/>
  <c r="M108"/>
  <c r="L108"/>
  <c r="K108"/>
  <c r="J108"/>
  <c r="I108"/>
  <c r="H108"/>
  <c r="G108"/>
  <c r="F108"/>
  <c r="E108"/>
  <c r="D108"/>
  <c r="C108"/>
  <c r="N109"/>
  <c r="M109"/>
  <c r="L109"/>
  <c r="K109"/>
  <c r="J109"/>
  <c r="I109"/>
  <c r="H109"/>
  <c r="G109"/>
  <c r="F109"/>
  <c r="E109"/>
  <c r="D109"/>
  <c r="C109"/>
  <c r="N110"/>
  <c r="M110"/>
  <c r="L110"/>
  <c r="K110"/>
  <c r="J110"/>
  <c r="I110"/>
  <c r="H110"/>
  <c r="G110"/>
  <c r="F110"/>
  <c r="E110"/>
  <c r="D110"/>
  <c r="C110"/>
  <c r="N111"/>
  <c r="M111"/>
  <c r="L111"/>
  <c r="K111"/>
  <c r="J111"/>
  <c r="I111"/>
  <c r="H111"/>
  <c r="G111"/>
  <c r="F111"/>
  <c r="E111"/>
  <c r="D111"/>
  <c r="C111"/>
  <c r="C12"/>
  <c r="C13"/>
  <c r="D13"/>
  <c r="E13"/>
  <c r="F13"/>
  <c r="G13"/>
  <c r="H13"/>
  <c r="I13"/>
  <c r="J13"/>
  <c r="K13"/>
  <c r="L13"/>
  <c r="M13"/>
  <c r="C14"/>
  <c r="D14"/>
  <c r="E14"/>
  <c r="F14"/>
  <c r="G14"/>
  <c r="H14"/>
  <c r="I14"/>
  <c r="J14"/>
  <c r="K14"/>
  <c r="L14"/>
  <c r="M14"/>
  <c r="C15"/>
  <c r="D15"/>
  <c r="E15"/>
  <c r="F15"/>
  <c r="G15"/>
  <c r="H15"/>
  <c r="I15"/>
  <c r="J15"/>
  <c r="K15"/>
  <c r="L15"/>
  <c r="M15"/>
  <c r="C16"/>
  <c r="D16"/>
  <c r="E16"/>
  <c r="F16"/>
  <c r="G16"/>
  <c r="H16"/>
  <c r="I16"/>
  <c r="J16"/>
  <c r="K16"/>
  <c r="L16"/>
  <c r="M16"/>
  <c r="C17"/>
  <c r="D17"/>
  <c r="E17"/>
  <c r="F17"/>
  <c r="G17"/>
  <c r="H17"/>
  <c r="I17"/>
  <c r="J17"/>
  <c r="K17"/>
  <c r="L17"/>
  <c r="M17"/>
  <c r="C18"/>
  <c r="D18"/>
  <c r="E18"/>
  <c r="F18"/>
  <c r="G18"/>
  <c r="H18"/>
  <c r="I18"/>
  <c r="J18"/>
  <c r="K18"/>
  <c r="L18"/>
  <c r="M18"/>
  <c r="C19"/>
  <c r="D19"/>
  <c r="E19"/>
  <c r="F19"/>
  <c r="G19"/>
  <c r="H19"/>
  <c r="I19"/>
  <c r="J19"/>
  <c r="K19"/>
  <c r="L19"/>
  <c r="M19"/>
  <c r="C20"/>
  <c r="D20"/>
  <c r="E20"/>
  <c r="F20"/>
  <c r="G20"/>
  <c r="H20"/>
  <c r="I20"/>
  <c r="J20"/>
  <c r="K20"/>
  <c r="L20"/>
  <c r="M20"/>
  <c r="C21"/>
  <c r="D21"/>
  <c r="E21"/>
  <c r="F21"/>
  <c r="G21"/>
  <c r="H21"/>
  <c r="I21"/>
  <c r="J21"/>
  <c r="K21"/>
  <c r="L21"/>
  <c r="M21"/>
  <c r="C22"/>
  <c r="D22"/>
  <c r="E22"/>
  <c r="F22"/>
  <c r="G22"/>
  <c r="H22"/>
  <c r="I22"/>
  <c r="J22"/>
  <c r="K22"/>
  <c r="L22"/>
  <c r="M22"/>
  <c r="C23"/>
  <c r="D23"/>
  <c r="E23"/>
  <c r="F23"/>
  <c r="G23"/>
  <c r="H23"/>
  <c r="I23"/>
  <c r="J23"/>
  <c r="K23"/>
  <c r="L23"/>
  <c r="M23"/>
  <c r="C24"/>
  <c r="D24"/>
  <c r="E24"/>
  <c r="F24"/>
  <c r="G24"/>
  <c r="H24"/>
  <c r="I24"/>
  <c r="J24"/>
  <c r="K24"/>
  <c r="L24"/>
  <c r="M24"/>
  <c r="C25"/>
  <c r="D25"/>
  <c r="E25"/>
  <c r="F25"/>
  <c r="G25"/>
  <c r="H25"/>
  <c r="I25"/>
  <c r="J25"/>
  <c r="K25"/>
  <c r="L25"/>
  <c r="M25"/>
  <c r="C26"/>
  <c r="D26"/>
  <c r="E26"/>
  <c r="F26"/>
  <c r="G26"/>
  <c r="H26"/>
  <c r="I26"/>
  <c r="J26"/>
  <c r="K26"/>
  <c r="L26"/>
  <c r="M26"/>
  <c r="C27"/>
  <c r="D27"/>
  <c r="E27"/>
  <c r="F27"/>
  <c r="G27"/>
  <c r="H27"/>
  <c r="I27"/>
  <c r="J27"/>
  <c r="K27"/>
  <c r="L27"/>
  <c r="M27"/>
  <c r="C28"/>
  <c r="D28"/>
  <c r="E28"/>
  <c r="F28"/>
  <c r="G28"/>
  <c r="H28"/>
  <c r="I28"/>
  <c r="J28"/>
  <c r="K28"/>
  <c r="L28"/>
  <c r="M28"/>
  <c r="C29"/>
  <c r="D29"/>
  <c r="E29"/>
  <c r="F29"/>
  <c r="G29"/>
  <c r="H29"/>
  <c r="I29"/>
  <c r="J29"/>
  <c r="K29"/>
  <c r="L29"/>
  <c r="M29"/>
  <c r="C30"/>
  <c r="D30"/>
  <c r="E30"/>
  <c r="F30"/>
  <c r="G30"/>
  <c r="H30"/>
  <c r="I30"/>
  <c r="J30"/>
  <c r="K30"/>
  <c r="L30"/>
  <c r="M30"/>
  <c r="C31"/>
  <c r="D31"/>
  <c r="E31"/>
  <c r="F31"/>
  <c r="G31"/>
  <c r="H31"/>
  <c r="I31"/>
  <c r="J31"/>
  <c r="K31"/>
  <c r="L31"/>
  <c r="M31"/>
  <c r="C32"/>
  <c r="D32"/>
  <c r="E32"/>
  <c r="F32"/>
  <c r="G32"/>
  <c r="H32"/>
  <c r="I32"/>
  <c r="J32"/>
  <c r="K32"/>
  <c r="L32"/>
  <c r="M32"/>
  <c r="C33"/>
  <c r="D33"/>
  <c r="E33"/>
  <c r="F33"/>
  <c r="G33"/>
  <c r="H33"/>
  <c r="I33"/>
  <c r="J33"/>
  <c r="K33"/>
  <c r="L33"/>
  <c r="M33"/>
  <c r="C34"/>
  <c r="D34"/>
  <c r="E34"/>
  <c r="F34"/>
  <c r="G34"/>
  <c r="H34"/>
  <c r="I34"/>
  <c r="J34"/>
  <c r="K34"/>
  <c r="L34"/>
  <c r="M34"/>
  <c r="C35"/>
  <c r="D35"/>
  <c r="E35"/>
  <c r="F35"/>
  <c r="G35"/>
  <c r="H35"/>
  <c r="I35"/>
  <c r="J35"/>
  <c r="K35"/>
  <c r="L35"/>
  <c r="M35"/>
  <c r="C36"/>
  <c r="D36"/>
  <c r="E36"/>
  <c r="F36"/>
  <c r="G36"/>
  <c r="H36"/>
  <c r="I36"/>
  <c r="J36"/>
  <c r="K36"/>
  <c r="L36"/>
  <c r="M36"/>
  <c r="C37"/>
  <c r="D37"/>
  <c r="E37"/>
  <c r="F37"/>
  <c r="G37"/>
  <c r="H37"/>
  <c r="I37"/>
  <c r="J37"/>
  <c r="K37"/>
  <c r="L37"/>
  <c r="M37"/>
  <c r="C38"/>
  <c r="D38"/>
  <c r="E38"/>
  <c r="F38"/>
  <c r="G38"/>
  <c r="H38"/>
  <c r="I38"/>
  <c r="J38"/>
  <c r="K38"/>
  <c r="L38"/>
  <c r="M38"/>
  <c r="C39"/>
  <c r="D39"/>
  <c r="E39"/>
  <c r="F39"/>
  <c r="G39"/>
  <c r="H39"/>
  <c r="I39"/>
  <c r="J39"/>
  <c r="K39"/>
  <c r="L39"/>
  <c r="M39"/>
  <c r="C40"/>
  <c r="D40"/>
  <c r="E40"/>
  <c r="F40"/>
  <c r="G40"/>
  <c r="H40"/>
  <c r="I40"/>
  <c r="J40"/>
  <c r="K40"/>
  <c r="L40"/>
  <c r="M40"/>
  <c r="C41"/>
  <c r="D41"/>
  <c r="E41"/>
  <c r="F41"/>
  <c r="G41"/>
  <c r="H41"/>
  <c r="I41"/>
  <c r="J41"/>
  <c r="K41"/>
  <c r="L41"/>
  <c r="M41"/>
  <c r="C42"/>
  <c r="D42"/>
  <c r="E42"/>
  <c r="F42"/>
  <c r="G42"/>
  <c r="H42"/>
  <c r="I42"/>
  <c r="J42"/>
  <c r="K42"/>
  <c r="L42"/>
  <c r="M42"/>
  <c r="C43"/>
  <c r="D43"/>
  <c r="E43"/>
  <c r="F43"/>
  <c r="G43"/>
  <c r="H43"/>
  <c r="I43"/>
  <c r="J43"/>
  <c r="K43"/>
  <c r="L43"/>
  <c r="M43"/>
  <c r="C44"/>
  <c r="D44"/>
  <c r="E44"/>
  <c r="F44"/>
  <c r="G44"/>
  <c r="H44"/>
  <c r="I44"/>
  <c r="J44"/>
  <c r="K44"/>
  <c r="L44"/>
  <c r="M44"/>
  <c r="C45"/>
  <c r="D45"/>
  <c r="E45"/>
  <c r="F45"/>
  <c r="G45"/>
  <c r="H45"/>
  <c r="I45"/>
  <c r="J45"/>
  <c r="K45"/>
  <c r="L45"/>
  <c r="M45"/>
  <c r="C46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C48"/>
  <c r="D48"/>
  <c r="E48"/>
  <c r="F48"/>
  <c r="G48"/>
  <c r="H48"/>
  <c r="I48"/>
  <c r="J48"/>
  <c r="K48"/>
  <c r="L48"/>
  <c r="M48"/>
  <c r="C9" i="1"/>
  <c r="C110" s="1"/>
  <c r="C113" i="2" l="1"/>
  <c r="D9" i="1"/>
  <c r="D113" i="2" l="1"/>
  <c r="E9" i="1"/>
  <c r="D110"/>
  <c r="E113" i="2" l="1"/>
  <c r="F9" i="1"/>
  <c r="E110"/>
  <c r="F113" i="2" l="1"/>
  <c r="G9" i="1"/>
  <c r="F110"/>
  <c r="G113" i="2" l="1"/>
  <c r="H9" i="1"/>
  <c r="G110"/>
  <c r="H113" i="2" l="1"/>
  <c r="I9" i="1"/>
  <c r="H110"/>
  <c r="I113" i="2" l="1"/>
  <c r="J9" i="1"/>
  <c r="I110"/>
  <c r="J113" i="2" l="1"/>
  <c r="K9" i="1"/>
  <c r="J110"/>
  <c r="K113" i="2" l="1"/>
  <c r="L9" i="1"/>
  <c r="K110"/>
  <c r="L113" i="2" l="1"/>
  <c r="M9" i="1"/>
  <c r="L110"/>
  <c r="N113" i="2" l="1"/>
  <c r="M113"/>
  <c r="N9" i="1"/>
  <c r="N110" s="1"/>
  <c r="M110"/>
</calcChain>
</file>

<file path=xl/sharedStrings.xml><?xml version="1.0" encoding="utf-8"?>
<sst xmlns="http://schemas.openxmlformats.org/spreadsheetml/2006/main" count="429" uniqueCount="364">
  <si>
    <t>Stock Price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</si>
  <si>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</si>
  <si>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</si>
  <si>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</si>
  <si>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</si>
  <si>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</si>
  <si>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</si>
  <si>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</si>
  <si>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</si>
  <si>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</si>
  <si>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</si>
  <si>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</si>
  <si>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</si>
  <si>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</si>
  <si>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input</t>
  </si>
  <si>
    <t>mean</t>
  </si>
  <si>
    <t>standard deviation</t>
  </si>
  <si>
    <t>Standard normal (0,1)</t>
  </si>
  <si>
    <t>m-sd2/2</t>
  </si>
  <si>
    <t>Time</t>
  </si>
  <si>
    <t>St1</t>
  </si>
  <si>
    <t>St2</t>
  </si>
  <si>
    <t>St3</t>
  </si>
  <si>
    <t>St4</t>
  </si>
  <si>
    <t>St5</t>
  </si>
  <si>
    <t>St6</t>
  </si>
  <si>
    <t>St7</t>
  </si>
  <si>
    <t>St8</t>
  </si>
  <si>
    <t>St9</t>
  </si>
  <si>
    <t>St10</t>
  </si>
  <si>
    <t>St11</t>
  </si>
  <si>
    <t>St12</t>
  </si>
  <si>
    <t>St13</t>
  </si>
  <si>
    <t>St14</t>
  </si>
  <si>
    <t>St15</t>
  </si>
  <si>
    <t>St16</t>
  </si>
  <si>
    <t>St17</t>
  </si>
  <si>
    <t>St18</t>
  </si>
  <si>
    <t>St19</t>
  </si>
  <si>
    <t>St20</t>
  </si>
  <si>
    <t>St21</t>
  </si>
  <si>
    <t>St22</t>
  </si>
  <si>
    <t>St23</t>
  </si>
  <si>
    <t>St24</t>
  </si>
  <si>
    <t>St25</t>
  </si>
  <si>
    <t>St26</t>
  </si>
  <si>
    <t>St27</t>
  </si>
  <si>
    <t>St28</t>
  </si>
  <si>
    <t>St29</t>
  </si>
  <si>
    <t>St30</t>
  </si>
  <si>
    <t>St31</t>
  </si>
  <si>
    <t>St32</t>
  </si>
  <si>
    <t>St33</t>
  </si>
  <si>
    <t>St34</t>
  </si>
  <si>
    <t>St35</t>
  </si>
  <si>
    <t>St36</t>
  </si>
  <si>
    <t>St37</t>
  </si>
  <si>
    <t>St38</t>
  </si>
  <si>
    <t>St39</t>
  </si>
  <si>
    <t>St40</t>
  </si>
  <si>
    <t>St41</t>
  </si>
  <si>
    <t>St42</t>
  </si>
  <si>
    <t>St43</t>
  </si>
  <si>
    <t>St44</t>
  </si>
  <si>
    <t>St45</t>
  </si>
  <si>
    <t>St46</t>
  </si>
  <si>
    <t>St47</t>
  </si>
  <si>
    <t>St48</t>
  </si>
  <si>
    <t>St49</t>
  </si>
  <si>
    <t>St50</t>
  </si>
  <si>
    <t>St51</t>
  </si>
  <si>
    <t>St52</t>
  </si>
  <si>
    <t>St53</t>
  </si>
  <si>
    <t>St54</t>
  </si>
  <si>
    <t>St55</t>
  </si>
  <si>
    <t>St56</t>
  </si>
  <si>
    <t>St57</t>
  </si>
  <si>
    <t>St58</t>
  </si>
  <si>
    <t>St59</t>
  </si>
  <si>
    <t>St60</t>
  </si>
  <si>
    <t>St61</t>
  </si>
  <si>
    <t>St62</t>
  </si>
  <si>
    <t>St63</t>
  </si>
  <si>
    <t>St64</t>
  </si>
  <si>
    <t>St65</t>
  </si>
  <si>
    <t>St66</t>
  </si>
  <si>
    <t>St67</t>
  </si>
  <si>
    <t>St68</t>
  </si>
  <si>
    <t>St69</t>
  </si>
  <si>
    <t>St70</t>
  </si>
  <si>
    <t>St71</t>
  </si>
  <si>
    <t>St72</t>
  </si>
  <si>
    <t>St73</t>
  </si>
  <si>
    <t>St74</t>
  </si>
  <si>
    <t>St75</t>
  </si>
  <si>
    <t>St76</t>
  </si>
  <si>
    <t>St77</t>
  </si>
  <si>
    <t>St78</t>
  </si>
  <si>
    <t>St79</t>
  </si>
  <si>
    <t>St80</t>
  </si>
  <si>
    <t>St81</t>
  </si>
  <si>
    <t>St82</t>
  </si>
  <si>
    <t>St83</t>
  </si>
  <si>
    <t>St84</t>
  </si>
  <si>
    <t>St85</t>
  </si>
  <si>
    <t>St86</t>
  </si>
  <si>
    <t>St87</t>
  </si>
  <si>
    <t>St88</t>
  </si>
  <si>
    <t>St89</t>
  </si>
  <si>
    <t>St90</t>
  </si>
  <si>
    <t>St91</t>
  </si>
  <si>
    <t>St92</t>
  </si>
  <si>
    <t>St93</t>
  </si>
  <si>
    <t>St94</t>
  </si>
  <si>
    <t>St95</t>
  </si>
  <si>
    <t>St96</t>
  </si>
  <si>
    <t>St97</t>
  </si>
  <si>
    <t>St98</t>
  </si>
  <si>
    <t>St99</t>
  </si>
  <si>
    <t>St100</t>
  </si>
  <si>
    <t>VaR at 99%</t>
  </si>
  <si>
    <t>Bond Price</t>
  </si>
  <si>
    <t>Bt1</t>
  </si>
  <si>
    <t>Bt2</t>
  </si>
  <si>
    <t>Bt3</t>
  </si>
  <si>
    <t>Bt4</t>
  </si>
  <si>
    <t>Bt5</t>
  </si>
  <si>
    <t>Bt6</t>
  </si>
  <si>
    <t>Bt7</t>
  </si>
  <si>
    <t>Bt8</t>
  </si>
  <si>
    <t>Bt9</t>
  </si>
  <si>
    <t>Bt10</t>
  </si>
  <si>
    <t>Bt11</t>
  </si>
  <si>
    <t>Bt12</t>
  </si>
  <si>
    <t>Bt13</t>
  </si>
  <si>
    <t>Bt14</t>
  </si>
  <si>
    <t>Bt15</t>
  </si>
  <si>
    <t>Bt16</t>
  </si>
  <si>
    <t>Bt17</t>
  </si>
  <si>
    <t>Bt18</t>
  </si>
  <si>
    <t>Bt19</t>
  </si>
  <si>
    <t>Bt20</t>
  </si>
  <si>
    <t>Bt21</t>
  </si>
  <si>
    <t>Bt22</t>
  </si>
  <si>
    <t>Bt23</t>
  </si>
  <si>
    <t>Bt24</t>
  </si>
  <si>
    <t>Bt25</t>
  </si>
  <si>
    <t>Bt26</t>
  </si>
  <si>
    <t>Bt27</t>
  </si>
  <si>
    <t>Bt28</t>
  </si>
  <si>
    <t>Bt29</t>
  </si>
  <si>
    <t>Bt30</t>
  </si>
  <si>
    <t>Bt31</t>
  </si>
  <si>
    <t>Bt32</t>
  </si>
  <si>
    <t>Bt33</t>
  </si>
  <si>
    <t>Bt34</t>
  </si>
  <si>
    <t>Bt35</t>
  </si>
  <si>
    <t>Bt36</t>
  </si>
  <si>
    <t>Bt37</t>
  </si>
  <si>
    <t>Bt38</t>
  </si>
  <si>
    <t>Bt39</t>
  </si>
  <si>
    <t>Bt40</t>
  </si>
  <si>
    <t>Bt41</t>
  </si>
  <si>
    <t>Bt42</t>
  </si>
  <si>
    <t>Bt43</t>
  </si>
  <si>
    <t>Bt44</t>
  </si>
  <si>
    <t>Bt45</t>
  </si>
  <si>
    <t>Bt46</t>
  </si>
  <si>
    <t>Bt47</t>
  </si>
  <si>
    <t>Bt48</t>
  </si>
  <si>
    <t>Bt49</t>
  </si>
  <si>
    <t>Bt50</t>
  </si>
  <si>
    <t>Bt51</t>
  </si>
  <si>
    <t>Bt52</t>
  </si>
  <si>
    <t>Bt53</t>
  </si>
  <si>
    <t>Bt54</t>
  </si>
  <si>
    <t>Bt55</t>
  </si>
  <si>
    <t>Bt56</t>
  </si>
  <si>
    <t>Bt57</t>
  </si>
  <si>
    <t>Bt58</t>
  </si>
  <si>
    <t>Bt59</t>
  </si>
  <si>
    <t>Bt60</t>
  </si>
  <si>
    <t>Bt61</t>
  </si>
  <si>
    <t>Bt62</t>
  </si>
  <si>
    <t>Bt63</t>
  </si>
  <si>
    <t>Bt64</t>
  </si>
  <si>
    <t>Bt65</t>
  </si>
  <si>
    <t>Bt66</t>
  </si>
  <si>
    <t>Bt67</t>
  </si>
  <si>
    <t>Bt68</t>
  </si>
  <si>
    <t>Bt69</t>
  </si>
  <si>
    <t>Bt70</t>
  </si>
  <si>
    <t>Bt71</t>
  </si>
  <si>
    <t>Bt72</t>
  </si>
  <si>
    <t>Bt73</t>
  </si>
  <si>
    <t>Bt74</t>
  </si>
  <si>
    <t>Bt75</t>
  </si>
  <si>
    <t>Bt76</t>
  </si>
  <si>
    <t>Bt77</t>
  </si>
  <si>
    <t>Bt78</t>
  </si>
  <si>
    <t>Bt79</t>
  </si>
  <si>
    <t>Bt80</t>
  </si>
  <si>
    <t>Bt81</t>
  </si>
  <si>
    <t>Bt82</t>
  </si>
  <si>
    <t>Bt83</t>
  </si>
  <si>
    <t>Bt84</t>
  </si>
  <si>
    <t>Bt85</t>
  </si>
  <si>
    <t>Bt86</t>
  </si>
  <si>
    <t>Bt87</t>
  </si>
  <si>
    <t>Bt88</t>
  </si>
  <si>
    <t>Bt89</t>
  </si>
  <si>
    <t>Bt90</t>
  </si>
  <si>
    <t>Bt91</t>
  </si>
  <si>
    <t>Bt92</t>
  </si>
  <si>
    <t>Bt93</t>
  </si>
  <si>
    <t>Bt94</t>
  </si>
  <si>
    <t>Bt95</t>
  </si>
  <si>
    <t>Bt96</t>
  </si>
  <si>
    <t>Bt97</t>
  </si>
  <si>
    <t>Bt98</t>
  </si>
  <si>
    <t>Bt99</t>
  </si>
  <si>
    <t>Bt100</t>
  </si>
  <si>
    <t>Long term(b)</t>
  </si>
  <si>
    <t>Pull Back</t>
  </si>
  <si>
    <t>Zero Coupon</t>
  </si>
  <si>
    <t>Duration</t>
  </si>
  <si>
    <t>Yield(1 Y)</t>
  </si>
  <si>
    <t>rt1</t>
  </si>
  <si>
    <t>rt2</t>
  </si>
  <si>
    <t>rt3</t>
  </si>
  <si>
    <t>rt4</t>
  </si>
  <si>
    <t>rt5</t>
  </si>
  <si>
    <t>rt6</t>
  </si>
  <si>
    <t>rt7</t>
  </si>
  <si>
    <t>rt8</t>
  </si>
  <si>
    <t>rt9</t>
  </si>
  <si>
    <t>rt10</t>
  </si>
  <si>
    <t>rt11</t>
  </si>
  <si>
    <t>rt12</t>
  </si>
  <si>
    <t>rt13</t>
  </si>
  <si>
    <t>rt14</t>
  </si>
  <si>
    <t>rt15</t>
  </si>
  <si>
    <t>rt16</t>
  </si>
  <si>
    <t>rt17</t>
  </si>
  <si>
    <t>rt18</t>
  </si>
  <si>
    <t>rt19</t>
  </si>
  <si>
    <t>rt20</t>
  </si>
  <si>
    <t>rt21</t>
  </si>
  <si>
    <t>rt22</t>
  </si>
  <si>
    <t>rt23</t>
  </si>
  <si>
    <t>rt24</t>
  </si>
  <si>
    <t>rt25</t>
  </si>
  <si>
    <t>rt26</t>
  </si>
  <si>
    <t>rt27</t>
  </si>
  <si>
    <t>rt28</t>
  </si>
  <si>
    <t>rt29</t>
  </si>
  <si>
    <t>rt30</t>
  </si>
  <si>
    <t>rt31</t>
  </si>
  <si>
    <t>rt32</t>
  </si>
  <si>
    <t>rt33</t>
  </si>
  <si>
    <t>rt34</t>
  </si>
  <si>
    <t>rt35</t>
  </si>
  <si>
    <t>rt36</t>
  </si>
  <si>
    <t>rt37</t>
  </si>
  <si>
    <t>rt38</t>
  </si>
  <si>
    <t>rt39</t>
  </si>
  <si>
    <t>rt40</t>
  </si>
  <si>
    <t>rt41</t>
  </si>
  <si>
    <t>rt42</t>
  </si>
  <si>
    <t>rt43</t>
  </si>
  <si>
    <t>rt44</t>
  </si>
  <si>
    <t>rt45</t>
  </si>
  <si>
    <t>rt46</t>
  </si>
  <si>
    <t>rt47</t>
  </si>
  <si>
    <t>rt48</t>
  </si>
  <si>
    <t>rt49</t>
  </si>
  <si>
    <t>rt50</t>
  </si>
  <si>
    <t>rt51</t>
  </si>
  <si>
    <t>rt52</t>
  </si>
  <si>
    <t>rt53</t>
  </si>
  <si>
    <t>rt54</t>
  </si>
  <si>
    <t>rt55</t>
  </si>
  <si>
    <t>rt56</t>
  </si>
  <si>
    <t>rt57</t>
  </si>
  <si>
    <t>rt58</t>
  </si>
  <si>
    <t>rt59</t>
  </si>
  <si>
    <t>rt60</t>
  </si>
  <si>
    <t>rt61</t>
  </si>
  <si>
    <t>rt62</t>
  </si>
  <si>
    <t>rt63</t>
  </si>
  <si>
    <t>rt64</t>
  </si>
  <si>
    <t>rt65</t>
  </si>
  <si>
    <t>rt66</t>
  </si>
  <si>
    <t>rt67</t>
  </si>
  <si>
    <t>rt68</t>
  </si>
  <si>
    <t>rt69</t>
  </si>
  <si>
    <t>rt70</t>
  </si>
  <si>
    <t>rt71</t>
  </si>
  <si>
    <t>rt72</t>
  </si>
  <si>
    <t>rt73</t>
  </si>
  <si>
    <t>rt74</t>
  </si>
  <si>
    <t>rt75</t>
  </si>
  <si>
    <t>rt76</t>
  </si>
  <si>
    <t>rt77</t>
  </si>
  <si>
    <t>rt78</t>
  </si>
  <si>
    <t>rt79</t>
  </si>
  <si>
    <t>rt80</t>
  </si>
  <si>
    <t>rt81</t>
  </si>
  <si>
    <t>rt82</t>
  </si>
  <si>
    <t>rt83</t>
  </si>
  <si>
    <t>rt84</t>
  </si>
  <si>
    <t>rt85</t>
  </si>
  <si>
    <t>rt86</t>
  </si>
  <si>
    <t>rt87</t>
  </si>
  <si>
    <t>rt88</t>
  </si>
  <si>
    <t>rt89</t>
  </si>
  <si>
    <t>rt90</t>
  </si>
  <si>
    <t>rt91</t>
  </si>
  <si>
    <t>rt92</t>
  </si>
  <si>
    <t>rt93</t>
  </si>
  <si>
    <t>rt94</t>
  </si>
  <si>
    <t>rt95</t>
  </si>
  <si>
    <t>rt96</t>
  </si>
  <si>
    <t>rt97</t>
  </si>
  <si>
    <t>rt98</t>
  </si>
  <si>
    <t>rt99</t>
  </si>
  <si>
    <t>rt100</t>
  </si>
  <si>
    <t>Stock A</t>
  </si>
  <si>
    <t>Stock B</t>
  </si>
  <si>
    <t>correlation coefficient</t>
  </si>
  <si>
    <t>Sat1</t>
  </si>
  <si>
    <t>Sat2</t>
  </si>
  <si>
    <t>Sat3</t>
  </si>
  <si>
    <t>Sat4</t>
  </si>
  <si>
    <t>Sat5</t>
  </si>
  <si>
    <t>Sat6</t>
  </si>
  <si>
    <t>Sat7</t>
  </si>
  <si>
    <t>Sat8</t>
  </si>
  <si>
    <t>Sat9</t>
  </si>
  <si>
    <t>Sat10</t>
  </si>
  <si>
    <t>Sat11</t>
  </si>
  <si>
    <t>Sat12</t>
  </si>
  <si>
    <t>Sat13</t>
  </si>
  <si>
    <t>Sat14</t>
  </si>
  <si>
    <t>Sat15</t>
  </si>
  <si>
    <t>Sat16</t>
  </si>
  <si>
    <t>Sbt1</t>
  </si>
  <si>
    <t>Sbt2</t>
  </si>
  <si>
    <t>Sbt3</t>
  </si>
  <si>
    <t>Sbt4</t>
  </si>
  <si>
    <t>Sbt5</t>
  </si>
  <si>
    <t>Sbt6</t>
  </si>
  <si>
    <t>Sbt7</t>
  </si>
  <si>
    <t>Sbt8</t>
  </si>
  <si>
    <t>Sbt9</t>
  </si>
  <si>
    <t>Sbt10</t>
  </si>
  <si>
    <t>Sbt11</t>
  </si>
  <si>
    <t>Sbt12</t>
  </si>
  <si>
    <t>Sbt13</t>
  </si>
  <si>
    <t>Sbt14</t>
  </si>
  <si>
    <t>Sbt15</t>
  </si>
  <si>
    <t>Sbt16</t>
  </si>
  <si>
    <t>A</t>
  </si>
  <si>
    <t>B</t>
  </si>
</sst>
</file>

<file path=xl/styles.xml><?xml version="1.0" encoding="utf-8"?>
<styleSheet xmlns="http://schemas.openxmlformats.org/spreadsheetml/2006/main">
  <numFmts count="2">
    <numFmt numFmtId="164" formatCode="_-* #,##0.00_-;\-* #,##0.00_-;_-* &quot;-&quot;??_-;_-@_-"/>
    <numFmt numFmtId="165" formatCode="0.000%"/>
  </numFmts>
  <fonts count="2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charset val="22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10" fontId="0" fillId="0" borderId="0" xfId="0" applyNumberFormat="1"/>
    <xf numFmtId="9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3" borderId="0" xfId="0" applyFill="1"/>
    <xf numFmtId="164" fontId="0" fillId="0" borderId="0" xfId="1" applyFont="1"/>
    <xf numFmtId="10" fontId="0" fillId="0" borderId="0" xfId="1" applyNumberFormat="1" applyFont="1"/>
    <xf numFmtId="10" fontId="0" fillId="0" borderId="0" xfId="2" applyNumberFormat="1" applyFont="1"/>
    <xf numFmtId="16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'Stock Price Simulation'!$A$9</c:f>
              <c:strCache>
                <c:ptCount val="1"/>
                <c:pt idx="0">
                  <c:v>St1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Simulation'!$B$9:$N$9</c:f>
              <c:numCache>
                <c:formatCode>General</c:formatCode>
                <c:ptCount val="13"/>
                <c:pt idx="0">
                  <c:v>100</c:v>
                </c:pt>
                <c:pt idx="1">
                  <c:v>102.86331232366123</c:v>
                </c:pt>
                <c:pt idx="2">
                  <c:v>100.48688285214725</c:v>
                </c:pt>
                <c:pt idx="3">
                  <c:v>98.63879244163418</c:v>
                </c:pt>
                <c:pt idx="4">
                  <c:v>106.05431652509046</c:v>
                </c:pt>
                <c:pt idx="5">
                  <c:v>105.97621776665439</c:v>
                </c:pt>
                <c:pt idx="6">
                  <c:v>106.57103710080732</c:v>
                </c:pt>
                <c:pt idx="7">
                  <c:v>104.74562175923009</c:v>
                </c:pt>
                <c:pt idx="8">
                  <c:v>105.59817988385659</c:v>
                </c:pt>
                <c:pt idx="9">
                  <c:v>112.30037481056357</c:v>
                </c:pt>
                <c:pt idx="10">
                  <c:v>114.83157367287781</c:v>
                </c:pt>
                <c:pt idx="11">
                  <c:v>116.14062149880763</c:v>
                </c:pt>
                <c:pt idx="12">
                  <c:v>110.15660563927909</c:v>
                </c:pt>
              </c:numCache>
            </c:numRef>
          </c:val>
        </c:ser>
        <c:ser>
          <c:idx val="1"/>
          <c:order val="1"/>
          <c:tx>
            <c:strRef>
              <c:f>'Stock Price Simulation'!$A$10</c:f>
              <c:strCache>
                <c:ptCount val="1"/>
                <c:pt idx="0">
                  <c:v>St2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Simulation'!$B$10:$N$10</c:f>
              <c:numCache>
                <c:formatCode>General</c:formatCode>
                <c:ptCount val="13"/>
                <c:pt idx="0">
                  <c:v>100</c:v>
                </c:pt>
                <c:pt idx="1">
                  <c:v>101.25012784550623</c:v>
                </c:pt>
                <c:pt idx="2">
                  <c:v>103.37161755759837</c:v>
                </c:pt>
                <c:pt idx="3">
                  <c:v>104.47835720930924</c:v>
                </c:pt>
                <c:pt idx="4">
                  <c:v>103.2143669157948</c:v>
                </c:pt>
                <c:pt idx="5">
                  <c:v>102.84390705591464</c:v>
                </c:pt>
                <c:pt idx="6">
                  <c:v>102.91878202852598</c:v>
                </c:pt>
                <c:pt idx="7">
                  <c:v>99.069455288589282</c:v>
                </c:pt>
                <c:pt idx="8">
                  <c:v>100.16202078589856</c:v>
                </c:pt>
                <c:pt idx="9">
                  <c:v>96.848583824873785</c:v>
                </c:pt>
                <c:pt idx="10">
                  <c:v>93.6035433263595</c:v>
                </c:pt>
                <c:pt idx="11">
                  <c:v>87.673265238581806</c:v>
                </c:pt>
                <c:pt idx="12">
                  <c:v>89.817799817947858</c:v>
                </c:pt>
              </c:numCache>
            </c:numRef>
          </c:val>
        </c:ser>
        <c:ser>
          <c:idx val="2"/>
          <c:order val="2"/>
          <c:tx>
            <c:strRef>
              <c:f>'Stock Price Simulation'!$A$11</c:f>
              <c:strCache>
                <c:ptCount val="1"/>
                <c:pt idx="0">
                  <c:v>St3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Simulation'!$B$11:$N$11</c:f>
              <c:numCache>
                <c:formatCode>General</c:formatCode>
                <c:ptCount val="13"/>
                <c:pt idx="0">
                  <c:v>100</c:v>
                </c:pt>
                <c:pt idx="1">
                  <c:v>100.90833318748491</c:v>
                </c:pt>
                <c:pt idx="2">
                  <c:v>107.13450544524834</c:v>
                </c:pt>
                <c:pt idx="3">
                  <c:v>105.01697708052792</c:v>
                </c:pt>
                <c:pt idx="4">
                  <c:v>100.12976421950164</c:v>
                </c:pt>
                <c:pt idx="5">
                  <c:v>100.9448374384275</c:v>
                </c:pt>
                <c:pt idx="6">
                  <c:v>101.23389071008503</c:v>
                </c:pt>
                <c:pt idx="7">
                  <c:v>93.46597629891086</c:v>
                </c:pt>
                <c:pt idx="8">
                  <c:v>93.744090676766561</c:v>
                </c:pt>
                <c:pt idx="9">
                  <c:v>95.580015119614714</c:v>
                </c:pt>
                <c:pt idx="10">
                  <c:v>93.20788772170728</c:v>
                </c:pt>
                <c:pt idx="11">
                  <c:v>93.236361602759615</c:v>
                </c:pt>
                <c:pt idx="12">
                  <c:v>88.398123136955476</c:v>
                </c:pt>
              </c:numCache>
            </c:numRef>
          </c:val>
        </c:ser>
        <c:ser>
          <c:idx val="3"/>
          <c:order val="3"/>
          <c:tx>
            <c:strRef>
              <c:f>'Stock Price Simulation'!$A$12</c:f>
              <c:strCache>
                <c:ptCount val="1"/>
                <c:pt idx="0">
                  <c:v>St4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Simulation'!$B$12:$N$12</c:f>
              <c:numCache>
                <c:formatCode>General</c:formatCode>
                <c:ptCount val="13"/>
                <c:pt idx="0">
                  <c:v>100</c:v>
                </c:pt>
                <c:pt idx="1">
                  <c:v>98.596457142752286</c:v>
                </c:pt>
                <c:pt idx="2">
                  <c:v>91.89742330560675</c:v>
                </c:pt>
                <c:pt idx="3">
                  <c:v>90.806936648126282</c:v>
                </c:pt>
                <c:pt idx="4">
                  <c:v>89.138615935298262</c:v>
                </c:pt>
                <c:pt idx="5">
                  <c:v>89.209080355121174</c:v>
                </c:pt>
                <c:pt idx="6">
                  <c:v>89.860130585024521</c:v>
                </c:pt>
                <c:pt idx="7">
                  <c:v>87.70550915624213</c:v>
                </c:pt>
                <c:pt idx="8">
                  <c:v>88.202331259887345</c:v>
                </c:pt>
                <c:pt idx="9">
                  <c:v>84.908362342170278</c:v>
                </c:pt>
                <c:pt idx="10">
                  <c:v>87.951308663510801</c:v>
                </c:pt>
                <c:pt idx="11">
                  <c:v>91.781735211452542</c:v>
                </c:pt>
                <c:pt idx="12">
                  <c:v>94.070266028566436</c:v>
                </c:pt>
              </c:numCache>
            </c:numRef>
          </c:val>
        </c:ser>
        <c:ser>
          <c:idx val="4"/>
          <c:order val="4"/>
          <c:tx>
            <c:strRef>
              <c:f>'Stock Price Simulation'!$A$13</c:f>
              <c:strCache>
                <c:ptCount val="1"/>
                <c:pt idx="0">
                  <c:v>St5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Simulation'!$B$13:$N$13</c:f>
              <c:numCache>
                <c:formatCode>General</c:formatCode>
                <c:ptCount val="13"/>
                <c:pt idx="0">
                  <c:v>100</c:v>
                </c:pt>
                <c:pt idx="1">
                  <c:v>100.50520619142307</c:v>
                </c:pt>
                <c:pt idx="2">
                  <c:v>104.52620684063537</c:v>
                </c:pt>
                <c:pt idx="3">
                  <c:v>103.06869589833165</c:v>
                </c:pt>
                <c:pt idx="4">
                  <c:v>101.04878250600849</c:v>
                </c:pt>
                <c:pt idx="5">
                  <c:v>101.38716029923106</c:v>
                </c:pt>
                <c:pt idx="6">
                  <c:v>103.13305024055803</c:v>
                </c:pt>
                <c:pt idx="7">
                  <c:v>106.60965197836772</c:v>
                </c:pt>
                <c:pt idx="8">
                  <c:v>105.28227209539743</c:v>
                </c:pt>
                <c:pt idx="9">
                  <c:v>110.18706789556815</c:v>
                </c:pt>
                <c:pt idx="10">
                  <c:v>117.97676005597968</c:v>
                </c:pt>
                <c:pt idx="11">
                  <c:v>119.49987851638731</c:v>
                </c:pt>
                <c:pt idx="12">
                  <c:v>121.28563303804154</c:v>
                </c:pt>
              </c:numCache>
            </c:numRef>
          </c:val>
        </c:ser>
        <c:ser>
          <c:idx val="5"/>
          <c:order val="5"/>
          <c:tx>
            <c:strRef>
              <c:f>'Stock Price Simulation'!$A$14</c:f>
              <c:strCache>
                <c:ptCount val="1"/>
                <c:pt idx="0">
                  <c:v>St6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Simulation'!$B$14:$N$14</c:f>
              <c:numCache>
                <c:formatCode>General</c:formatCode>
                <c:ptCount val="13"/>
                <c:pt idx="0">
                  <c:v>100</c:v>
                </c:pt>
                <c:pt idx="1">
                  <c:v>103.36410356625811</c:v>
                </c:pt>
                <c:pt idx="2">
                  <c:v>104.26831944012994</c:v>
                </c:pt>
                <c:pt idx="3">
                  <c:v>102.39149383787168</c:v>
                </c:pt>
                <c:pt idx="4">
                  <c:v>103.21915938521538</c:v>
                </c:pt>
                <c:pt idx="5">
                  <c:v>98.609343431794571</c:v>
                </c:pt>
                <c:pt idx="6">
                  <c:v>95.249735918535947</c:v>
                </c:pt>
                <c:pt idx="7">
                  <c:v>95.380257775340311</c:v>
                </c:pt>
                <c:pt idx="8">
                  <c:v>96.523715105111009</c:v>
                </c:pt>
                <c:pt idx="9">
                  <c:v>95.933270910944458</c:v>
                </c:pt>
                <c:pt idx="10">
                  <c:v>96.612231379524445</c:v>
                </c:pt>
                <c:pt idx="11">
                  <c:v>95.485254693566816</c:v>
                </c:pt>
                <c:pt idx="12">
                  <c:v>100.15401675032632</c:v>
                </c:pt>
              </c:numCache>
            </c:numRef>
          </c:val>
        </c:ser>
        <c:ser>
          <c:idx val="6"/>
          <c:order val="6"/>
          <c:tx>
            <c:strRef>
              <c:f>'Stock Price Simulation'!$A$15</c:f>
              <c:strCache>
                <c:ptCount val="1"/>
                <c:pt idx="0">
                  <c:v>St7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Simulation'!$B$15:$N$15</c:f>
              <c:numCache>
                <c:formatCode>General</c:formatCode>
                <c:ptCount val="13"/>
                <c:pt idx="0">
                  <c:v>100</c:v>
                </c:pt>
                <c:pt idx="1">
                  <c:v>101.75790111894061</c:v>
                </c:pt>
                <c:pt idx="2">
                  <c:v>99.279784346497493</c:v>
                </c:pt>
                <c:pt idx="3">
                  <c:v>95.985873715794185</c:v>
                </c:pt>
                <c:pt idx="4">
                  <c:v>94.805114027501574</c:v>
                </c:pt>
                <c:pt idx="5">
                  <c:v>95.085458162790587</c:v>
                </c:pt>
                <c:pt idx="6">
                  <c:v>94.424469340709862</c:v>
                </c:pt>
                <c:pt idx="7">
                  <c:v>100.03615800363259</c:v>
                </c:pt>
                <c:pt idx="8">
                  <c:v>96.408510073557821</c:v>
                </c:pt>
                <c:pt idx="9">
                  <c:v>94.007372573402591</c:v>
                </c:pt>
                <c:pt idx="10">
                  <c:v>93.156043378998149</c:v>
                </c:pt>
                <c:pt idx="11">
                  <c:v>90.529092044127609</c:v>
                </c:pt>
                <c:pt idx="12">
                  <c:v>89.230517866267405</c:v>
                </c:pt>
              </c:numCache>
            </c:numRef>
          </c:val>
        </c:ser>
        <c:ser>
          <c:idx val="7"/>
          <c:order val="7"/>
          <c:tx>
            <c:strRef>
              <c:f>'Stock Price Simulation'!$A$16</c:f>
              <c:strCache>
                <c:ptCount val="1"/>
                <c:pt idx="0">
                  <c:v>St8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Simulation'!$B$16:$N$16</c:f>
              <c:numCache>
                <c:formatCode>General</c:formatCode>
                <c:ptCount val="13"/>
                <c:pt idx="0">
                  <c:v>100</c:v>
                </c:pt>
                <c:pt idx="1">
                  <c:v>100.86024386066879</c:v>
                </c:pt>
                <c:pt idx="2">
                  <c:v>98.204320628755056</c:v>
                </c:pt>
                <c:pt idx="3">
                  <c:v>93.215479452532534</c:v>
                </c:pt>
                <c:pt idx="4">
                  <c:v>94.57865465383901</c:v>
                </c:pt>
                <c:pt idx="5">
                  <c:v>97.94731984016191</c:v>
                </c:pt>
                <c:pt idx="6">
                  <c:v>101.67718414709833</c:v>
                </c:pt>
                <c:pt idx="7">
                  <c:v>104.76357873517007</c:v>
                </c:pt>
                <c:pt idx="8">
                  <c:v>107.56459098674439</c:v>
                </c:pt>
                <c:pt idx="9">
                  <c:v>103.73825646542782</c:v>
                </c:pt>
                <c:pt idx="10">
                  <c:v>102.58953358149483</c:v>
                </c:pt>
                <c:pt idx="11">
                  <c:v>103.66321349637174</c:v>
                </c:pt>
                <c:pt idx="12">
                  <c:v>106.85975790686105</c:v>
                </c:pt>
              </c:numCache>
            </c:numRef>
          </c:val>
        </c:ser>
        <c:ser>
          <c:idx val="8"/>
          <c:order val="8"/>
          <c:tx>
            <c:strRef>
              <c:f>'Stock Price Simulation'!$A$17</c:f>
              <c:strCache>
                <c:ptCount val="1"/>
                <c:pt idx="0">
                  <c:v>St9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Simulation'!$B$17:$N$17</c:f>
              <c:numCache>
                <c:formatCode>General</c:formatCode>
                <c:ptCount val="13"/>
                <c:pt idx="0">
                  <c:v>100</c:v>
                </c:pt>
                <c:pt idx="1">
                  <c:v>103.59401998575493</c:v>
                </c:pt>
                <c:pt idx="2">
                  <c:v>102.04276895865857</c:v>
                </c:pt>
                <c:pt idx="3">
                  <c:v>101.4893080100841</c:v>
                </c:pt>
                <c:pt idx="4">
                  <c:v>98.009989668166099</c:v>
                </c:pt>
                <c:pt idx="5">
                  <c:v>100.52965464624951</c:v>
                </c:pt>
                <c:pt idx="6">
                  <c:v>101.92553569315896</c:v>
                </c:pt>
                <c:pt idx="7">
                  <c:v>96.758901801483233</c:v>
                </c:pt>
                <c:pt idx="8">
                  <c:v>97.111194876533631</c:v>
                </c:pt>
                <c:pt idx="9">
                  <c:v>93.135664649971957</c:v>
                </c:pt>
                <c:pt idx="10">
                  <c:v>95.86324135010517</c:v>
                </c:pt>
                <c:pt idx="11">
                  <c:v>94.65658930034067</c:v>
                </c:pt>
                <c:pt idx="12">
                  <c:v>91.148931124858805</c:v>
                </c:pt>
              </c:numCache>
            </c:numRef>
          </c:val>
        </c:ser>
        <c:ser>
          <c:idx val="9"/>
          <c:order val="9"/>
          <c:tx>
            <c:strRef>
              <c:f>'Stock Price Simulation'!$A$18</c:f>
              <c:strCache>
                <c:ptCount val="1"/>
                <c:pt idx="0">
                  <c:v>St10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Simulation'!$B$18:$N$18</c:f>
              <c:numCache>
                <c:formatCode>General</c:formatCode>
                <c:ptCount val="13"/>
                <c:pt idx="0">
                  <c:v>100</c:v>
                </c:pt>
                <c:pt idx="1">
                  <c:v>104.1743039184766</c:v>
                </c:pt>
                <c:pt idx="2">
                  <c:v>104.50281818311367</c:v>
                </c:pt>
                <c:pt idx="3">
                  <c:v>105.17745707585226</c:v>
                </c:pt>
                <c:pt idx="4">
                  <c:v>104.90240267409578</c:v>
                </c:pt>
                <c:pt idx="5">
                  <c:v>109.91483765901843</c:v>
                </c:pt>
                <c:pt idx="6">
                  <c:v>111.31365534832781</c:v>
                </c:pt>
                <c:pt idx="7">
                  <c:v>111.91631882663037</c:v>
                </c:pt>
                <c:pt idx="8">
                  <c:v>113.48580232360686</c:v>
                </c:pt>
                <c:pt idx="9">
                  <c:v>112.09513406773297</c:v>
                </c:pt>
                <c:pt idx="10">
                  <c:v>108.33646128014566</c:v>
                </c:pt>
                <c:pt idx="11">
                  <c:v>103.87802209898221</c:v>
                </c:pt>
                <c:pt idx="12">
                  <c:v>105.34251658604157</c:v>
                </c:pt>
              </c:numCache>
            </c:numRef>
          </c:val>
        </c:ser>
        <c:ser>
          <c:idx val="10"/>
          <c:order val="10"/>
          <c:tx>
            <c:strRef>
              <c:f>'Stock Price Simulation'!$A$19</c:f>
              <c:strCache>
                <c:ptCount val="1"/>
                <c:pt idx="0">
                  <c:v>St11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Simulation'!$B$19:$N$19</c:f>
              <c:numCache>
                <c:formatCode>General</c:formatCode>
                <c:ptCount val="13"/>
                <c:pt idx="0">
                  <c:v>100</c:v>
                </c:pt>
                <c:pt idx="1">
                  <c:v>105.41349787013441</c:v>
                </c:pt>
                <c:pt idx="2">
                  <c:v>106.00635411756028</c:v>
                </c:pt>
                <c:pt idx="3">
                  <c:v>111.56724949665157</c:v>
                </c:pt>
                <c:pt idx="4">
                  <c:v>115.03556795881897</c:v>
                </c:pt>
                <c:pt idx="5">
                  <c:v>114.5283285947889</c:v>
                </c:pt>
                <c:pt idx="6">
                  <c:v>118.68818882389584</c:v>
                </c:pt>
                <c:pt idx="7">
                  <c:v>121.77774627954696</c:v>
                </c:pt>
                <c:pt idx="8">
                  <c:v>125.19351283331315</c:v>
                </c:pt>
                <c:pt idx="9">
                  <c:v>126.52814146067441</c:v>
                </c:pt>
                <c:pt idx="10">
                  <c:v>129.47203510671824</c:v>
                </c:pt>
                <c:pt idx="11">
                  <c:v>126.57145593656833</c:v>
                </c:pt>
                <c:pt idx="12">
                  <c:v>129.23889329340992</c:v>
                </c:pt>
              </c:numCache>
            </c:numRef>
          </c:val>
        </c:ser>
        <c:ser>
          <c:idx val="11"/>
          <c:order val="11"/>
          <c:tx>
            <c:strRef>
              <c:f>'Stock Price Simulation'!$A$20</c:f>
              <c:strCache>
                <c:ptCount val="1"/>
                <c:pt idx="0">
                  <c:v>St12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Simulation'!$B$20:$N$20</c:f>
              <c:numCache>
                <c:formatCode>General</c:formatCode>
                <c:ptCount val="13"/>
                <c:pt idx="0">
                  <c:v>100</c:v>
                </c:pt>
                <c:pt idx="1">
                  <c:v>99.944887521361295</c:v>
                </c:pt>
                <c:pt idx="2">
                  <c:v>101.0774937532063</c:v>
                </c:pt>
                <c:pt idx="3">
                  <c:v>101.15451193724056</c:v>
                </c:pt>
                <c:pt idx="4">
                  <c:v>100.80351807893209</c:v>
                </c:pt>
                <c:pt idx="5">
                  <c:v>101.31940191859567</c:v>
                </c:pt>
                <c:pt idx="6">
                  <c:v>99.633130444069778</c:v>
                </c:pt>
                <c:pt idx="7">
                  <c:v>98.302135653504692</c:v>
                </c:pt>
                <c:pt idx="8">
                  <c:v>99.118140811079229</c:v>
                </c:pt>
                <c:pt idx="9">
                  <c:v>102.98962398378247</c:v>
                </c:pt>
                <c:pt idx="10">
                  <c:v>105.39179397552142</c:v>
                </c:pt>
                <c:pt idx="11">
                  <c:v>106.25140297388168</c:v>
                </c:pt>
                <c:pt idx="12">
                  <c:v>107.73292716932814</c:v>
                </c:pt>
              </c:numCache>
            </c:numRef>
          </c:val>
        </c:ser>
        <c:ser>
          <c:idx val="12"/>
          <c:order val="12"/>
          <c:tx>
            <c:strRef>
              <c:f>'Stock Price Simulation'!$A$21</c:f>
              <c:strCache>
                <c:ptCount val="1"/>
                <c:pt idx="0">
                  <c:v>St13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Simulation'!$B$21:$N$21</c:f>
              <c:numCache>
                <c:formatCode>General</c:formatCode>
                <c:ptCount val="13"/>
                <c:pt idx="0">
                  <c:v>100</c:v>
                </c:pt>
                <c:pt idx="1">
                  <c:v>100.20631278470304</c:v>
                </c:pt>
                <c:pt idx="2">
                  <c:v>103.02200247955534</c:v>
                </c:pt>
                <c:pt idx="3">
                  <c:v>102.23888556865995</c:v>
                </c:pt>
                <c:pt idx="4">
                  <c:v>100.61845115319748</c:v>
                </c:pt>
                <c:pt idx="5">
                  <c:v>105.51212623285929</c:v>
                </c:pt>
                <c:pt idx="6">
                  <c:v>102.6513110536994</c:v>
                </c:pt>
                <c:pt idx="7">
                  <c:v>102.1989391093657</c:v>
                </c:pt>
                <c:pt idx="8">
                  <c:v>100.48163214475662</c:v>
                </c:pt>
                <c:pt idx="9">
                  <c:v>101.73162724382223</c:v>
                </c:pt>
                <c:pt idx="10">
                  <c:v>100.82673049332743</c:v>
                </c:pt>
                <c:pt idx="11">
                  <c:v>101.36792306777589</c:v>
                </c:pt>
                <c:pt idx="12">
                  <c:v>93.735438885545349</c:v>
                </c:pt>
              </c:numCache>
            </c:numRef>
          </c:val>
        </c:ser>
        <c:ser>
          <c:idx val="13"/>
          <c:order val="13"/>
          <c:tx>
            <c:strRef>
              <c:f>'Stock Price Simulation'!$A$22</c:f>
              <c:strCache>
                <c:ptCount val="1"/>
                <c:pt idx="0">
                  <c:v>St14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Simulation'!$B$22:$N$22</c:f>
              <c:numCache>
                <c:formatCode>General</c:formatCode>
                <c:ptCount val="13"/>
                <c:pt idx="0">
                  <c:v>100</c:v>
                </c:pt>
                <c:pt idx="1">
                  <c:v>94.892570356360309</c:v>
                </c:pt>
                <c:pt idx="2">
                  <c:v>97.396892341769387</c:v>
                </c:pt>
                <c:pt idx="3">
                  <c:v>96.478949345612889</c:v>
                </c:pt>
                <c:pt idx="4">
                  <c:v>99.276176932228751</c:v>
                </c:pt>
                <c:pt idx="5">
                  <c:v>94.308552026884712</c:v>
                </c:pt>
                <c:pt idx="6">
                  <c:v>91.289829172650741</c:v>
                </c:pt>
                <c:pt idx="7">
                  <c:v>94.094654626930549</c:v>
                </c:pt>
                <c:pt idx="8">
                  <c:v>94.369761777518264</c:v>
                </c:pt>
                <c:pt idx="9">
                  <c:v>92.252464286954051</c:v>
                </c:pt>
                <c:pt idx="10">
                  <c:v>88.579394538751515</c:v>
                </c:pt>
                <c:pt idx="11">
                  <c:v>90.555965472499395</c:v>
                </c:pt>
                <c:pt idx="12">
                  <c:v>86.52929466951575</c:v>
                </c:pt>
              </c:numCache>
            </c:numRef>
          </c:val>
        </c:ser>
        <c:ser>
          <c:idx val="14"/>
          <c:order val="14"/>
          <c:tx>
            <c:strRef>
              <c:f>'Stock Price Simulation'!$A$23</c:f>
              <c:strCache>
                <c:ptCount val="1"/>
                <c:pt idx="0">
                  <c:v>St15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Simulation'!$B$23:$N$23</c:f>
              <c:numCache>
                <c:formatCode>General</c:formatCode>
                <c:ptCount val="13"/>
                <c:pt idx="0">
                  <c:v>100</c:v>
                </c:pt>
                <c:pt idx="1">
                  <c:v>95.115295608076849</c:v>
                </c:pt>
                <c:pt idx="2">
                  <c:v>94.882467428495161</c:v>
                </c:pt>
                <c:pt idx="3">
                  <c:v>93.750054388164159</c:v>
                </c:pt>
                <c:pt idx="4">
                  <c:v>94.328455500678757</c:v>
                </c:pt>
                <c:pt idx="5">
                  <c:v>94.18847503793566</c:v>
                </c:pt>
                <c:pt idx="6">
                  <c:v>95.951989067117637</c:v>
                </c:pt>
                <c:pt idx="7">
                  <c:v>94.783781801286267</c:v>
                </c:pt>
                <c:pt idx="8">
                  <c:v>95.102270207707832</c:v>
                </c:pt>
                <c:pt idx="9">
                  <c:v>89.232942705734743</c:v>
                </c:pt>
                <c:pt idx="10">
                  <c:v>89.968302988381495</c:v>
                </c:pt>
                <c:pt idx="11">
                  <c:v>87.674124198428416</c:v>
                </c:pt>
                <c:pt idx="12">
                  <c:v>88.626084966651476</c:v>
                </c:pt>
              </c:numCache>
            </c:numRef>
          </c:val>
        </c:ser>
        <c:ser>
          <c:idx val="15"/>
          <c:order val="15"/>
          <c:tx>
            <c:strRef>
              <c:f>'Stock Price Simulation'!$A$24</c:f>
              <c:strCache>
                <c:ptCount val="1"/>
                <c:pt idx="0">
                  <c:v>St16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Simulation'!$B$24:$N$24</c:f>
              <c:numCache>
                <c:formatCode>General</c:formatCode>
                <c:ptCount val="13"/>
                <c:pt idx="0">
                  <c:v>100</c:v>
                </c:pt>
                <c:pt idx="1">
                  <c:v>103.48991836370574</c:v>
                </c:pt>
                <c:pt idx="2">
                  <c:v>106.91499147944712</c:v>
                </c:pt>
                <c:pt idx="3">
                  <c:v>106.49352954409059</c:v>
                </c:pt>
                <c:pt idx="4">
                  <c:v>108.50482733600853</c:v>
                </c:pt>
                <c:pt idx="5">
                  <c:v>114.77873179226719</c:v>
                </c:pt>
                <c:pt idx="6">
                  <c:v>119.10732413108127</c:v>
                </c:pt>
                <c:pt idx="7">
                  <c:v>117.07071016045991</c:v>
                </c:pt>
                <c:pt idx="8">
                  <c:v>121.58535197409375</c:v>
                </c:pt>
                <c:pt idx="9">
                  <c:v>118.17884146949532</c:v>
                </c:pt>
                <c:pt idx="10">
                  <c:v>118.02631669264115</c:v>
                </c:pt>
                <c:pt idx="11">
                  <c:v>118.47355877116294</c:v>
                </c:pt>
                <c:pt idx="12">
                  <c:v>117.35261529271723</c:v>
                </c:pt>
              </c:numCache>
            </c:numRef>
          </c:val>
        </c:ser>
        <c:ser>
          <c:idx val="16"/>
          <c:order val="16"/>
          <c:tx>
            <c:strRef>
              <c:f>'Stock Price Simulation'!$A$25</c:f>
              <c:strCache>
                <c:ptCount val="1"/>
                <c:pt idx="0">
                  <c:v>St17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Simulation'!$B$25:$N$25</c:f>
              <c:numCache>
                <c:formatCode>General</c:formatCode>
                <c:ptCount val="13"/>
                <c:pt idx="0">
                  <c:v>100</c:v>
                </c:pt>
                <c:pt idx="1">
                  <c:v>99.044926100596285</c:v>
                </c:pt>
                <c:pt idx="2">
                  <c:v>100.11074779766643</c:v>
                </c:pt>
                <c:pt idx="3">
                  <c:v>97.872958045674437</c:v>
                </c:pt>
                <c:pt idx="4">
                  <c:v>93.967582064244894</c:v>
                </c:pt>
                <c:pt idx="5">
                  <c:v>94.130342458900444</c:v>
                </c:pt>
                <c:pt idx="6">
                  <c:v>98.081238060750138</c:v>
                </c:pt>
                <c:pt idx="7">
                  <c:v>94.218205147148069</c:v>
                </c:pt>
                <c:pt idx="8">
                  <c:v>94.77022849276122</c:v>
                </c:pt>
                <c:pt idx="9">
                  <c:v>97.817681929630751</c:v>
                </c:pt>
                <c:pt idx="10">
                  <c:v>98.495149800834625</c:v>
                </c:pt>
                <c:pt idx="11">
                  <c:v>97.727851004836978</c:v>
                </c:pt>
                <c:pt idx="12">
                  <c:v>102.98822116457259</c:v>
                </c:pt>
              </c:numCache>
            </c:numRef>
          </c:val>
        </c:ser>
        <c:ser>
          <c:idx val="17"/>
          <c:order val="17"/>
          <c:tx>
            <c:strRef>
              <c:f>'Stock Price Simulation'!$A$26</c:f>
              <c:strCache>
                <c:ptCount val="1"/>
                <c:pt idx="0">
                  <c:v>St18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Simulation'!$B$26:$N$26</c:f>
              <c:numCache>
                <c:formatCode>General</c:formatCode>
                <c:ptCount val="13"/>
                <c:pt idx="0">
                  <c:v>100</c:v>
                </c:pt>
                <c:pt idx="1">
                  <c:v>98.889445136726764</c:v>
                </c:pt>
                <c:pt idx="2">
                  <c:v>98.207087097469866</c:v>
                </c:pt>
                <c:pt idx="3">
                  <c:v>99.146468171838038</c:v>
                </c:pt>
                <c:pt idx="4">
                  <c:v>100.13749592668626</c:v>
                </c:pt>
                <c:pt idx="5">
                  <c:v>99.764555029654289</c:v>
                </c:pt>
                <c:pt idx="6">
                  <c:v>100.19942869624407</c:v>
                </c:pt>
                <c:pt idx="7">
                  <c:v>100.23608459358606</c:v>
                </c:pt>
                <c:pt idx="8">
                  <c:v>98.134484736361614</c:v>
                </c:pt>
                <c:pt idx="9">
                  <c:v>98.363687812719832</c:v>
                </c:pt>
                <c:pt idx="10">
                  <c:v>99.369480163608657</c:v>
                </c:pt>
                <c:pt idx="11">
                  <c:v>95.656180938669849</c:v>
                </c:pt>
                <c:pt idx="12">
                  <c:v>100.54414246626899</c:v>
                </c:pt>
              </c:numCache>
            </c:numRef>
          </c:val>
        </c:ser>
        <c:ser>
          <c:idx val="18"/>
          <c:order val="18"/>
          <c:tx>
            <c:strRef>
              <c:f>'Stock Price Simulation'!$A$27</c:f>
              <c:strCache>
                <c:ptCount val="1"/>
                <c:pt idx="0">
                  <c:v>St19</c:v>
                </c:pt>
              </c:strCache>
            </c:strRef>
          </c:tx>
          <c:cat>
            <c:strRef>
              <c:f>'Stock Price Simulation'!$B$6:$N$6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cat>
          <c:val>
            <c:numRef>
              <c:f>'Stock Price Simulation'!$B$27:$N$27</c:f>
              <c:numCache>
                <c:formatCode>General</c:formatCode>
                <c:ptCount val="13"/>
                <c:pt idx="0">
                  <c:v>100</c:v>
                </c:pt>
                <c:pt idx="1">
                  <c:v>96.891510435276587</c:v>
                </c:pt>
                <c:pt idx="2">
                  <c:v>96.855011842055674</c:v>
                </c:pt>
                <c:pt idx="3">
                  <c:v>102.256733562359</c:v>
                </c:pt>
                <c:pt idx="4">
                  <c:v>106.56266290893498</c:v>
                </c:pt>
                <c:pt idx="5">
                  <c:v>108.2236423445639</c:v>
                </c:pt>
                <c:pt idx="6">
                  <c:v>106.18006619245102</c:v>
                </c:pt>
                <c:pt idx="7">
                  <c:v>99.932175834368962</c:v>
                </c:pt>
                <c:pt idx="8">
                  <c:v>104.46627488089175</c:v>
                </c:pt>
                <c:pt idx="9">
                  <c:v>106.46426694018274</c:v>
                </c:pt>
                <c:pt idx="10">
                  <c:v>110.7614806429854</c:v>
                </c:pt>
                <c:pt idx="11">
                  <c:v>112.20650274184497</c:v>
                </c:pt>
                <c:pt idx="12">
                  <c:v>109.98710957489114</c:v>
                </c:pt>
              </c:numCache>
            </c:numRef>
          </c:val>
        </c:ser>
        <c:marker val="1"/>
        <c:axId val="95523584"/>
        <c:axId val="95525120"/>
      </c:lineChart>
      <c:catAx>
        <c:axId val="95523584"/>
        <c:scaling>
          <c:orientation val="minMax"/>
        </c:scaling>
        <c:axPos val="b"/>
        <c:tickLblPos val="nextTo"/>
        <c:txPr>
          <a:bodyPr/>
          <a:lstStyle/>
          <a:p>
            <a:pPr>
              <a:defRPr lang="th-TH"/>
            </a:pPr>
            <a:endParaRPr lang="en-US"/>
          </a:p>
        </c:txPr>
        <c:crossAx val="95525120"/>
        <c:crosses val="autoZero"/>
        <c:auto val="1"/>
        <c:lblAlgn val="ctr"/>
        <c:lblOffset val="100"/>
      </c:catAx>
      <c:valAx>
        <c:axId val="95525120"/>
        <c:scaling>
          <c:orientation val="minMax"/>
          <c:min val="65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lang="th-TH"/>
            </a:pPr>
            <a:endParaRPr lang="en-US"/>
          </a:p>
        </c:txPr>
        <c:crossAx val="955235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143044619422569"/>
          <c:y val="8.6043671624380189E-2"/>
          <c:w val="0.13356955380577429"/>
          <c:h val="0.83427512737378506"/>
        </c:manualLayout>
      </c:layout>
      <c:txPr>
        <a:bodyPr/>
        <a:lstStyle/>
        <a:p>
          <a:pPr>
            <a:defRPr lang="th-TH"/>
          </a:pPr>
          <a:endParaRPr lang="en-US"/>
        </a:p>
      </c:txPr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8720761729601318"/>
          <c:y val="9.8638630056629789E-2"/>
          <c:w val="0.63660870516185475"/>
          <c:h val="0.7761420968212307"/>
        </c:manualLayout>
      </c:layout>
      <c:lineChart>
        <c:grouping val="standard"/>
        <c:ser>
          <c:idx val="0"/>
          <c:order val="0"/>
          <c:cat>
            <c:strRef>
              <c:f>'Interest Rate Simulation'!$A$115:$A$214</c:f>
              <c:strCache>
                <c:ptCount val="100"/>
                <c:pt idx="0">
                  <c:v>rt1</c:v>
                </c:pt>
                <c:pt idx="1">
                  <c:v>rt2</c:v>
                </c:pt>
                <c:pt idx="2">
                  <c:v>rt3</c:v>
                </c:pt>
                <c:pt idx="3">
                  <c:v>rt4</c:v>
                </c:pt>
                <c:pt idx="4">
                  <c:v>rt5</c:v>
                </c:pt>
                <c:pt idx="5">
                  <c:v>rt6</c:v>
                </c:pt>
                <c:pt idx="6">
                  <c:v>rt7</c:v>
                </c:pt>
                <c:pt idx="7">
                  <c:v>rt8</c:v>
                </c:pt>
                <c:pt idx="8">
                  <c:v>rt9</c:v>
                </c:pt>
                <c:pt idx="9">
                  <c:v>rt10</c:v>
                </c:pt>
                <c:pt idx="10">
                  <c:v>rt11</c:v>
                </c:pt>
                <c:pt idx="11">
                  <c:v>rt12</c:v>
                </c:pt>
                <c:pt idx="12">
                  <c:v>rt13</c:v>
                </c:pt>
                <c:pt idx="13">
                  <c:v>rt14</c:v>
                </c:pt>
                <c:pt idx="14">
                  <c:v>rt15</c:v>
                </c:pt>
                <c:pt idx="15">
                  <c:v>rt16</c:v>
                </c:pt>
                <c:pt idx="16">
                  <c:v>rt17</c:v>
                </c:pt>
                <c:pt idx="17">
                  <c:v>rt18</c:v>
                </c:pt>
                <c:pt idx="18">
                  <c:v>rt19</c:v>
                </c:pt>
                <c:pt idx="19">
                  <c:v>rt20</c:v>
                </c:pt>
                <c:pt idx="20">
                  <c:v>rt21</c:v>
                </c:pt>
                <c:pt idx="21">
                  <c:v>rt22</c:v>
                </c:pt>
                <c:pt idx="22">
                  <c:v>rt23</c:v>
                </c:pt>
                <c:pt idx="23">
                  <c:v>rt24</c:v>
                </c:pt>
                <c:pt idx="24">
                  <c:v>rt25</c:v>
                </c:pt>
                <c:pt idx="25">
                  <c:v>rt26</c:v>
                </c:pt>
                <c:pt idx="26">
                  <c:v>rt27</c:v>
                </c:pt>
                <c:pt idx="27">
                  <c:v>rt28</c:v>
                </c:pt>
                <c:pt idx="28">
                  <c:v>rt29</c:v>
                </c:pt>
                <c:pt idx="29">
                  <c:v>rt30</c:v>
                </c:pt>
                <c:pt idx="30">
                  <c:v>rt31</c:v>
                </c:pt>
                <c:pt idx="31">
                  <c:v>rt32</c:v>
                </c:pt>
                <c:pt idx="32">
                  <c:v>rt33</c:v>
                </c:pt>
                <c:pt idx="33">
                  <c:v>rt34</c:v>
                </c:pt>
                <c:pt idx="34">
                  <c:v>rt35</c:v>
                </c:pt>
                <c:pt idx="35">
                  <c:v>rt36</c:v>
                </c:pt>
                <c:pt idx="36">
                  <c:v>rt37</c:v>
                </c:pt>
                <c:pt idx="37">
                  <c:v>rt38</c:v>
                </c:pt>
                <c:pt idx="38">
                  <c:v>rt39</c:v>
                </c:pt>
                <c:pt idx="39">
                  <c:v>rt40</c:v>
                </c:pt>
                <c:pt idx="40">
                  <c:v>rt41</c:v>
                </c:pt>
                <c:pt idx="41">
                  <c:v>rt42</c:v>
                </c:pt>
                <c:pt idx="42">
                  <c:v>rt43</c:v>
                </c:pt>
                <c:pt idx="43">
                  <c:v>rt44</c:v>
                </c:pt>
                <c:pt idx="44">
                  <c:v>rt45</c:v>
                </c:pt>
                <c:pt idx="45">
                  <c:v>rt46</c:v>
                </c:pt>
                <c:pt idx="46">
                  <c:v>rt47</c:v>
                </c:pt>
                <c:pt idx="47">
                  <c:v>rt48</c:v>
                </c:pt>
                <c:pt idx="48">
                  <c:v>rt49</c:v>
                </c:pt>
                <c:pt idx="49">
                  <c:v>rt50</c:v>
                </c:pt>
                <c:pt idx="50">
                  <c:v>rt51</c:v>
                </c:pt>
                <c:pt idx="51">
                  <c:v>rt52</c:v>
                </c:pt>
                <c:pt idx="52">
                  <c:v>rt53</c:v>
                </c:pt>
                <c:pt idx="53">
                  <c:v>rt54</c:v>
                </c:pt>
                <c:pt idx="54">
                  <c:v>rt55</c:v>
                </c:pt>
                <c:pt idx="55">
                  <c:v>rt56</c:v>
                </c:pt>
                <c:pt idx="56">
                  <c:v>rt57</c:v>
                </c:pt>
                <c:pt idx="57">
                  <c:v>rt58</c:v>
                </c:pt>
                <c:pt idx="58">
                  <c:v>rt59</c:v>
                </c:pt>
                <c:pt idx="59">
                  <c:v>rt60</c:v>
                </c:pt>
                <c:pt idx="60">
                  <c:v>rt61</c:v>
                </c:pt>
                <c:pt idx="61">
                  <c:v>rt62</c:v>
                </c:pt>
                <c:pt idx="62">
                  <c:v>rt63</c:v>
                </c:pt>
                <c:pt idx="63">
                  <c:v>rt64</c:v>
                </c:pt>
                <c:pt idx="64">
                  <c:v>rt65</c:v>
                </c:pt>
                <c:pt idx="65">
                  <c:v>rt66</c:v>
                </c:pt>
                <c:pt idx="66">
                  <c:v>rt67</c:v>
                </c:pt>
                <c:pt idx="67">
                  <c:v>rt68</c:v>
                </c:pt>
                <c:pt idx="68">
                  <c:v>rt69</c:v>
                </c:pt>
                <c:pt idx="69">
                  <c:v>rt70</c:v>
                </c:pt>
                <c:pt idx="70">
                  <c:v>rt71</c:v>
                </c:pt>
                <c:pt idx="71">
                  <c:v>rt72</c:v>
                </c:pt>
                <c:pt idx="72">
                  <c:v>rt73</c:v>
                </c:pt>
                <c:pt idx="73">
                  <c:v>rt74</c:v>
                </c:pt>
                <c:pt idx="74">
                  <c:v>rt75</c:v>
                </c:pt>
                <c:pt idx="75">
                  <c:v>rt76</c:v>
                </c:pt>
                <c:pt idx="76">
                  <c:v>rt77</c:v>
                </c:pt>
                <c:pt idx="77">
                  <c:v>rt78</c:v>
                </c:pt>
                <c:pt idx="78">
                  <c:v>rt79</c:v>
                </c:pt>
                <c:pt idx="79">
                  <c:v>rt80</c:v>
                </c:pt>
                <c:pt idx="80">
                  <c:v>rt81</c:v>
                </c:pt>
                <c:pt idx="81">
                  <c:v>rt82</c:v>
                </c:pt>
                <c:pt idx="82">
                  <c:v>rt83</c:v>
                </c:pt>
                <c:pt idx="83">
                  <c:v>rt84</c:v>
                </c:pt>
                <c:pt idx="84">
                  <c:v>rt85</c:v>
                </c:pt>
                <c:pt idx="85">
                  <c:v>rt86</c:v>
                </c:pt>
                <c:pt idx="86">
                  <c:v>rt87</c:v>
                </c:pt>
                <c:pt idx="87">
                  <c:v>rt88</c:v>
                </c:pt>
                <c:pt idx="88">
                  <c:v>rt89</c:v>
                </c:pt>
                <c:pt idx="89">
                  <c:v>rt90</c:v>
                </c:pt>
                <c:pt idx="90">
                  <c:v>rt91</c:v>
                </c:pt>
                <c:pt idx="91">
                  <c:v>rt92</c:v>
                </c:pt>
                <c:pt idx="92">
                  <c:v>rt93</c:v>
                </c:pt>
                <c:pt idx="93">
                  <c:v>rt94</c:v>
                </c:pt>
                <c:pt idx="94">
                  <c:v>rt95</c:v>
                </c:pt>
                <c:pt idx="95">
                  <c:v>rt96</c:v>
                </c:pt>
                <c:pt idx="96">
                  <c:v>rt97</c:v>
                </c:pt>
                <c:pt idx="97">
                  <c:v>rt98</c:v>
                </c:pt>
                <c:pt idx="98">
                  <c:v>rt99</c:v>
                </c:pt>
                <c:pt idx="99">
                  <c:v>rt100</c:v>
                </c:pt>
              </c:strCache>
            </c:strRef>
          </c:cat>
          <c:val>
            <c:numRef>
              <c:f>'Interest Rate Simulation'!$B$115:$B$214</c:f>
              <c:numCache>
                <c:formatCode>0.00%</c:formatCode>
                <c:ptCount val="100"/>
                <c:pt idx="0">
                  <c:v>2.52E-2</c:v>
                </c:pt>
                <c:pt idx="1">
                  <c:v>2.52E-2</c:v>
                </c:pt>
                <c:pt idx="2">
                  <c:v>2.52E-2</c:v>
                </c:pt>
                <c:pt idx="3">
                  <c:v>2.52E-2</c:v>
                </c:pt>
                <c:pt idx="4">
                  <c:v>2.52E-2</c:v>
                </c:pt>
                <c:pt idx="5">
                  <c:v>2.52E-2</c:v>
                </c:pt>
                <c:pt idx="6">
                  <c:v>2.52E-2</c:v>
                </c:pt>
                <c:pt idx="7">
                  <c:v>2.52E-2</c:v>
                </c:pt>
                <c:pt idx="8">
                  <c:v>2.52E-2</c:v>
                </c:pt>
                <c:pt idx="9">
                  <c:v>2.52E-2</c:v>
                </c:pt>
                <c:pt idx="10">
                  <c:v>2.52E-2</c:v>
                </c:pt>
                <c:pt idx="11">
                  <c:v>2.52E-2</c:v>
                </c:pt>
                <c:pt idx="12">
                  <c:v>2.52E-2</c:v>
                </c:pt>
                <c:pt idx="13">
                  <c:v>2.52E-2</c:v>
                </c:pt>
                <c:pt idx="14">
                  <c:v>2.52E-2</c:v>
                </c:pt>
                <c:pt idx="15">
                  <c:v>2.52E-2</c:v>
                </c:pt>
                <c:pt idx="16">
                  <c:v>2.52E-2</c:v>
                </c:pt>
                <c:pt idx="17">
                  <c:v>2.52E-2</c:v>
                </c:pt>
                <c:pt idx="18">
                  <c:v>2.52E-2</c:v>
                </c:pt>
                <c:pt idx="19">
                  <c:v>2.52E-2</c:v>
                </c:pt>
                <c:pt idx="20">
                  <c:v>2.52E-2</c:v>
                </c:pt>
                <c:pt idx="21">
                  <c:v>2.52E-2</c:v>
                </c:pt>
                <c:pt idx="22">
                  <c:v>2.52E-2</c:v>
                </c:pt>
                <c:pt idx="23">
                  <c:v>2.52E-2</c:v>
                </c:pt>
                <c:pt idx="24">
                  <c:v>2.52E-2</c:v>
                </c:pt>
                <c:pt idx="25">
                  <c:v>2.52E-2</c:v>
                </c:pt>
                <c:pt idx="26">
                  <c:v>2.52E-2</c:v>
                </c:pt>
                <c:pt idx="27">
                  <c:v>2.52E-2</c:v>
                </c:pt>
                <c:pt idx="28">
                  <c:v>2.52E-2</c:v>
                </c:pt>
                <c:pt idx="29">
                  <c:v>2.52E-2</c:v>
                </c:pt>
                <c:pt idx="30">
                  <c:v>2.52E-2</c:v>
                </c:pt>
                <c:pt idx="31">
                  <c:v>2.52E-2</c:v>
                </c:pt>
                <c:pt idx="32">
                  <c:v>2.52E-2</c:v>
                </c:pt>
                <c:pt idx="33">
                  <c:v>2.52E-2</c:v>
                </c:pt>
                <c:pt idx="34">
                  <c:v>2.52E-2</c:v>
                </c:pt>
                <c:pt idx="35">
                  <c:v>2.52E-2</c:v>
                </c:pt>
                <c:pt idx="36">
                  <c:v>2.52E-2</c:v>
                </c:pt>
                <c:pt idx="37">
                  <c:v>2.52E-2</c:v>
                </c:pt>
                <c:pt idx="38">
                  <c:v>2.52E-2</c:v>
                </c:pt>
                <c:pt idx="39">
                  <c:v>2.52E-2</c:v>
                </c:pt>
                <c:pt idx="40">
                  <c:v>2.52E-2</c:v>
                </c:pt>
                <c:pt idx="41">
                  <c:v>2.52E-2</c:v>
                </c:pt>
                <c:pt idx="42">
                  <c:v>2.52E-2</c:v>
                </c:pt>
                <c:pt idx="43">
                  <c:v>2.52E-2</c:v>
                </c:pt>
                <c:pt idx="44">
                  <c:v>2.52E-2</c:v>
                </c:pt>
                <c:pt idx="45">
                  <c:v>2.52E-2</c:v>
                </c:pt>
                <c:pt idx="46">
                  <c:v>2.52E-2</c:v>
                </c:pt>
                <c:pt idx="47">
                  <c:v>2.52E-2</c:v>
                </c:pt>
                <c:pt idx="48">
                  <c:v>2.52E-2</c:v>
                </c:pt>
                <c:pt idx="49">
                  <c:v>2.52E-2</c:v>
                </c:pt>
                <c:pt idx="50">
                  <c:v>2.52E-2</c:v>
                </c:pt>
                <c:pt idx="51">
                  <c:v>2.52E-2</c:v>
                </c:pt>
                <c:pt idx="52">
                  <c:v>2.52E-2</c:v>
                </c:pt>
                <c:pt idx="53">
                  <c:v>2.52E-2</c:v>
                </c:pt>
                <c:pt idx="54">
                  <c:v>2.52E-2</c:v>
                </c:pt>
                <c:pt idx="55">
                  <c:v>2.52E-2</c:v>
                </c:pt>
                <c:pt idx="56">
                  <c:v>2.52E-2</c:v>
                </c:pt>
                <c:pt idx="57">
                  <c:v>2.52E-2</c:v>
                </c:pt>
                <c:pt idx="58">
                  <c:v>2.52E-2</c:v>
                </c:pt>
                <c:pt idx="59">
                  <c:v>2.52E-2</c:v>
                </c:pt>
                <c:pt idx="60">
                  <c:v>2.52E-2</c:v>
                </c:pt>
                <c:pt idx="61">
                  <c:v>2.52E-2</c:v>
                </c:pt>
                <c:pt idx="62">
                  <c:v>2.52E-2</c:v>
                </c:pt>
                <c:pt idx="63">
                  <c:v>2.52E-2</c:v>
                </c:pt>
                <c:pt idx="64">
                  <c:v>2.52E-2</c:v>
                </c:pt>
                <c:pt idx="65">
                  <c:v>2.52E-2</c:v>
                </c:pt>
                <c:pt idx="66">
                  <c:v>2.52E-2</c:v>
                </c:pt>
                <c:pt idx="67">
                  <c:v>2.52E-2</c:v>
                </c:pt>
                <c:pt idx="68">
                  <c:v>2.52E-2</c:v>
                </c:pt>
                <c:pt idx="69">
                  <c:v>2.52E-2</c:v>
                </c:pt>
                <c:pt idx="70">
                  <c:v>2.52E-2</c:v>
                </c:pt>
                <c:pt idx="71">
                  <c:v>2.52E-2</c:v>
                </c:pt>
                <c:pt idx="72">
                  <c:v>2.52E-2</c:v>
                </c:pt>
                <c:pt idx="73">
                  <c:v>2.52E-2</c:v>
                </c:pt>
                <c:pt idx="74">
                  <c:v>2.52E-2</c:v>
                </c:pt>
                <c:pt idx="75">
                  <c:v>2.52E-2</c:v>
                </c:pt>
                <c:pt idx="76">
                  <c:v>2.52E-2</c:v>
                </c:pt>
                <c:pt idx="77">
                  <c:v>2.52E-2</c:v>
                </c:pt>
                <c:pt idx="78">
                  <c:v>2.52E-2</c:v>
                </c:pt>
                <c:pt idx="79">
                  <c:v>2.52E-2</c:v>
                </c:pt>
                <c:pt idx="80">
                  <c:v>2.52E-2</c:v>
                </c:pt>
                <c:pt idx="81">
                  <c:v>2.52E-2</c:v>
                </c:pt>
                <c:pt idx="82">
                  <c:v>2.52E-2</c:v>
                </c:pt>
                <c:pt idx="83">
                  <c:v>2.52E-2</c:v>
                </c:pt>
                <c:pt idx="84">
                  <c:v>2.52E-2</c:v>
                </c:pt>
                <c:pt idx="85">
                  <c:v>2.52E-2</c:v>
                </c:pt>
                <c:pt idx="86">
                  <c:v>2.52E-2</c:v>
                </c:pt>
                <c:pt idx="87">
                  <c:v>2.52E-2</c:v>
                </c:pt>
                <c:pt idx="88">
                  <c:v>2.52E-2</c:v>
                </c:pt>
                <c:pt idx="89">
                  <c:v>2.52E-2</c:v>
                </c:pt>
                <c:pt idx="90">
                  <c:v>2.52E-2</c:v>
                </c:pt>
                <c:pt idx="91">
                  <c:v>2.52E-2</c:v>
                </c:pt>
                <c:pt idx="92">
                  <c:v>2.52E-2</c:v>
                </c:pt>
                <c:pt idx="93">
                  <c:v>2.52E-2</c:v>
                </c:pt>
                <c:pt idx="94">
                  <c:v>2.52E-2</c:v>
                </c:pt>
                <c:pt idx="95">
                  <c:v>2.52E-2</c:v>
                </c:pt>
                <c:pt idx="96">
                  <c:v>2.52E-2</c:v>
                </c:pt>
                <c:pt idx="97">
                  <c:v>2.52E-2</c:v>
                </c:pt>
                <c:pt idx="98">
                  <c:v>2.52E-2</c:v>
                </c:pt>
                <c:pt idx="99">
                  <c:v>2.52E-2</c:v>
                </c:pt>
              </c:numCache>
            </c:numRef>
          </c:val>
        </c:ser>
        <c:ser>
          <c:idx val="1"/>
          <c:order val="1"/>
          <c:cat>
            <c:strRef>
              <c:f>'Interest Rate Simulation'!$A$115:$A$214</c:f>
              <c:strCache>
                <c:ptCount val="100"/>
                <c:pt idx="0">
                  <c:v>rt1</c:v>
                </c:pt>
                <c:pt idx="1">
                  <c:v>rt2</c:v>
                </c:pt>
                <c:pt idx="2">
                  <c:v>rt3</c:v>
                </c:pt>
                <c:pt idx="3">
                  <c:v>rt4</c:v>
                </c:pt>
                <c:pt idx="4">
                  <c:v>rt5</c:v>
                </c:pt>
                <c:pt idx="5">
                  <c:v>rt6</c:v>
                </c:pt>
                <c:pt idx="6">
                  <c:v>rt7</c:v>
                </c:pt>
                <c:pt idx="7">
                  <c:v>rt8</c:v>
                </c:pt>
                <c:pt idx="8">
                  <c:v>rt9</c:v>
                </c:pt>
                <c:pt idx="9">
                  <c:v>rt10</c:v>
                </c:pt>
                <c:pt idx="10">
                  <c:v>rt11</c:v>
                </c:pt>
                <c:pt idx="11">
                  <c:v>rt12</c:v>
                </c:pt>
                <c:pt idx="12">
                  <c:v>rt13</c:v>
                </c:pt>
                <c:pt idx="13">
                  <c:v>rt14</c:v>
                </c:pt>
                <c:pt idx="14">
                  <c:v>rt15</c:v>
                </c:pt>
                <c:pt idx="15">
                  <c:v>rt16</c:v>
                </c:pt>
                <c:pt idx="16">
                  <c:v>rt17</c:v>
                </c:pt>
                <c:pt idx="17">
                  <c:v>rt18</c:v>
                </c:pt>
                <c:pt idx="18">
                  <c:v>rt19</c:v>
                </c:pt>
                <c:pt idx="19">
                  <c:v>rt20</c:v>
                </c:pt>
                <c:pt idx="20">
                  <c:v>rt21</c:v>
                </c:pt>
                <c:pt idx="21">
                  <c:v>rt22</c:v>
                </c:pt>
                <c:pt idx="22">
                  <c:v>rt23</c:v>
                </c:pt>
                <c:pt idx="23">
                  <c:v>rt24</c:v>
                </c:pt>
                <c:pt idx="24">
                  <c:v>rt25</c:v>
                </c:pt>
                <c:pt idx="25">
                  <c:v>rt26</c:v>
                </c:pt>
                <c:pt idx="26">
                  <c:v>rt27</c:v>
                </c:pt>
                <c:pt idx="27">
                  <c:v>rt28</c:v>
                </c:pt>
                <c:pt idx="28">
                  <c:v>rt29</c:v>
                </c:pt>
                <c:pt idx="29">
                  <c:v>rt30</c:v>
                </c:pt>
                <c:pt idx="30">
                  <c:v>rt31</c:v>
                </c:pt>
                <c:pt idx="31">
                  <c:v>rt32</c:v>
                </c:pt>
                <c:pt idx="32">
                  <c:v>rt33</c:v>
                </c:pt>
                <c:pt idx="33">
                  <c:v>rt34</c:v>
                </c:pt>
                <c:pt idx="34">
                  <c:v>rt35</c:v>
                </c:pt>
                <c:pt idx="35">
                  <c:v>rt36</c:v>
                </c:pt>
                <c:pt idx="36">
                  <c:v>rt37</c:v>
                </c:pt>
                <c:pt idx="37">
                  <c:v>rt38</c:v>
                </c:pt>
                <c:pt idx="38">
                  <c:v>rt39</c:v>
                </c:pt>
                <c:pt idx="39">
                  <c:v>rt40</c:v>
                </c:pt>
                <c:pt idx="40">
                  <c:v>rt41</c:v>
                </c:pt>
                <c:pt idx="41">
                  <c:v>rt42</c:v>
                </c:pt>
                <c:pt idx="42">
                  <c:v>rt43</c:v>
                </c:pt>
                <c:pt idx="43">
                  <c:v>rt44</c:v>
                </c:pt>
                <c:pt idx="44">
                  <c:v>rt45</c:v>
                </c:pt>
                <c:pt idx="45">
                  <c:v>rt46</c:v>
                </c:pt>
                <c:pt idx="46">
                  <c:v>rt47</c:v>
                </c:pt>
                <c:pt idx="47">
                  <c:v>rt48</c:v>
                </c:pt>
                <c:pt idx="48">
                  <c:v>rt49</c:v>
                </c:pt>
                <c:pt idx="49">
                  <c:v>rt50</c:v>
                </c:pt>
                <c:pt idx="50">
                  <c:v>rt51</c:v>
                </c:pt>
                <c:pt idx="51">
                  <c:v>rt52</c:v>
                </c:pt>
                <c:pt idx="52">
                  <c:v>rt53</c:v>
                </c:pt>
                <c:pt idx="53">
                  <c:v>rt54</c:v>
                </c:pt>
                <c:pt idx="54">
                  <c:v>rt55</c:v>
                </c:pt>
                <c:pt idx="55">
                  <c:v>rt56</c:v>
                </c:pt>
                <c:pt idx="56">
                  <c:v>rt57</c:v>
                </c:pt>
                <c:pt idx="57">
                  <c:v>rt58</c:v>
                </c:pt>
                <c:pt idx="58">
                  <c:v>rt59</c:v>
                </c:pt>
                <c:pt idx="59">
                  <c:v>rt60</c:v>
                </c:pt>
                <c:pt idx="60">
                  <c:v>rt61</c:v>
                </c:pt>
                <c:pt idx="61">
                  <c:v>rt62</c:v>
                </c:pt>
                <c:pt idx="62">
                  <c:v>rt63</c:v>
                </c:pt>
                <c:pt idx="63">
                  <c:v>rt64</c:v>
                </c:pt>
                <c:pt idx="64">
                  <c:v>rt65</c:v>
                </c:pt>
                <c:pt idx="65">
                  <c:v>rt66</c:v>
                </c:pt>
                <c:pt idx="66">
                  <c:v>rt67</c:v>
                </c:pt>
                <c:pt idx="67">
                  <c:v>rt68</c:v>
                </c:pt>
                <c:pt idx="68">
                  <c:v>rt69</c:v>
                </c:pt>
                <c:pt idx="69">
                  <c:v>rt70</c:v>
                </c:pt>
                <c:pt idx="70">
                  <c:v>rt71</c:v>
                </c:pt>
                <c:pt idx="71">
                  <c:v>rt72</c:v>
                </c:pt>
                <c:pt idx="72">
                  <c:v>rt73</c:v>
                </c:pt>
                <c:pt idx="73">
                  <c:v>rt74</c:v>
                </c:pt>
                <c:pt idx="74">
                  <c:v>rt75</c:v>
                </c:pt>
                <c:pt idx="75">
                  <c:v>rt76</c:v>
                </c:pt>
                <c:pt idx="76">
                  <c:v>rt77</c:v>
                </c:pt>
                <c:pt idx="77">
                  <c:v>rt78</c:v>
                </c:pt>
                <c:pt idx="78">
                  <c:v>rt79</c:v>
                </c:pt>
                <c:pt idx="79">
                  <c:v>rt80</c:v>
                </c:pt>
                <c:pt idx="80">
                  <c:v>rt81</c:v>
                </c:pt>
                <c:pt idx="81">
                  <c:v>rt82</c:v>
                </c:pt>
                <c:pt idx="82">
                  <c:v>rt83</c:v>
                </c:pt>
                <c:pt idx="83">
                  <c:v>rt84</c:v>
                </c:pt>
                <c:pt idx="84">
                  <c:v>rt85</c:v>
                </c:pt>
                <c:pt idx="85">
                  <c:v>rt86</c:v>
                </c:pt>
                <c:pt idx="86">
                  <c:v>rt87</c:v>
                </c:pt>
                <c:pt idx="87">
                  <c:v>rt88</c:v>
                </c:pt>
                <c:pt idx="88">
                  <c:v>rt89</c:v>
                </c:pt>
                <c:pt idx="89">
                  <c:v>rt90</c:v>
                </c:pt>
                <c:pt idx="90">
                  <c:v>rt91</c:v>
                </c:pt>
                <c:pt idx="91">
                  <c:v>rt92</c:v>
                </c:pt>
                <c:pt idx="92">
                  <c:v>rt93</c:v>
                </c:pt>
                <c:pt idx="93">
                  <c:v>rt94</c:v>
                </c:pt>
                <c:pt idx="94">
                  <c:v>rt95</c:v>
                </c:pt>
                <c:pt idx="95">
                  <c:v>rt96</c:v>
                </c:pt>
                <c:pt idx="96">
                  <c:v>rt97</c:v>
                </c:pt>
                <c:pt idx="97">
                  <c:v>rt98</c:v>
                </c:pt>
                <c:pt idx="98">
                  <c:v>rt99</c:v>
                </c:pt>
                <c:pt idx="99">
                  <c:v>rt100</c:v>
                </c:pt>
              </c:strCache>
            </c:strRef>
          </c:cat>
          <c:val>
            <c:numRef>
              <c:f>'Interest Rate Simulation'!$C$115:$C$214</c:f>
              <c:numCache>
                <c:formatCode>0.00%</c:formatCode>
                <c:ptCount val="100"/>
                <c:pt idx="0">
                  <c:v>2.5559928886427889E-2</c:v>
                </c:pt>
                <c:pt idx="1">
                  <c:v>2.5935377819589159E-2</c:v>
                </c:pt>
                <c:pt idx="2">
                  <c:v>2.4424510703610028E-2</c:v>
                </c:pt>
                <c:pt idx="3">
                  <c:v>2.6179905286656435E-2</c:v>
                </c:pt>
                <c:pt idx="4">
                  <c:v>2.54376462941974E-2</c:v>
                </c:pt>
                <c:pt idx="5">
                  <c:v>2.5505269353014143E-2</c:v>
                </c:pt>
                <c:pt idx="6">
                  <c:v>2.3406190870632289E-2</c:v>
                </c:pt>
                <c:pt idx="7">
                  <c:v>2.5986112113625438E-2</c:v>
                </c:pt>
                <c:pt idx="8">
                  <c:v>2.4657431961962434E-2</c:v>
                </c:pt>
                <c:pt idx="9">
                  <c:v>2.4292937430354121E-2</c:v>
                </c:pt>
                <c:pt idx="10">
                  <c:v>2.4349426830373312E-2</c:v>
                </c:pt>
                <c:pt idx="11">
                  <c:v>2.4563317294241938E-2</c:v>
                </c:pt>
                <c:pt idx="12">
                  <c:v>2.5192840420103023E-2</c:v>
                </c:pt>
                <c:pt idx="13">
                  <c:v>2.5157782223520501E-2</c:v>
                </c:pt>
                <c:pt idx="14">
                  <c:v>2.5567163684510428E-2</c:v>
                </c:pt>
                <c:pt idx="15">
                  <c:v>2.4926605173463644E-2</c:v>
                </c:pt>
                <c:pt idx="16">
                  <c:v>2.5558794197943092E-2</c:v>
                </c:pt>
                <c:pt idx="17">
                  <c:v>2.5492065536633725E-2</c:v>
                </c:pt>
                <c:pt idx="18">
                  <c:v>2.5700936393952857E-2</c:v>
                </c:pt>
                <c:pt idx="19">
                  <c:v>2.4978678896628477E-2</c:v>
                </c:pt>
                <c:pt idx="20">
                  <c:v>2.5771814684731591E-2</c:v>
                </c:pt>
                <c:pt idx="21">
                  <c:v>2.5093829287777848E-2</c:v>
                </c:pt>
                <c:pt idx="22">
                  <c:v>2.6052946469429419E-2</c:v>
                </c:pt>
                <c:pt idx="23">
                  <c:v>2.3411970719731213E-2</c:v>
                </c:pt>
                <c:pt idx="24">
                  <c:v>2.5427407949282981E-2</c:v>
                </c:pt>
                <c:pt idx="25">
                  <c:v>2.5092196802235116E-2</c:v>
                </c:pt>
                <c:pt idx="26">
                  <c:v>2.7183452056683762E-2</c:v>
                </c:pt>
                <c:pt idx="27">
                  <c:v>2.5988652559128161E-2</c:v>
                </c:pt>
                <c:pt idx="28">
                  <c:v>2.427183800259132E-2</c:v>
                </c:pt>
                <c:pt idx="29">
                  <c:v>2.5803575206442442E-2</c:v>
                </c:pt>
                <c:pt idx="30">
                  <c:v>2.5822846335200159E-2</c:v>
                </c:pt>
                <c:pt idx="31">
                  <c:v>2.5483765154011077E-2</c:v>
                </c:pt>
                <c:pt idx="32">
                  <c:v>2.6037065140773988E-2</c:v>
                </c:pt>
                <c:pt idx="33">
                  <c:v>2.5296826013680287E-2</c:v>
                </c:pt>
                <c:pt idx="34">
                  <c:v>2.4749578398633294E-2</c:v>
                </c:pt>
                <c:pt idx="35">
                  <c:v>2.5006587708162591E-2</c:v>
                </c:pt>
                <c:pt idx="36">
                  <c:v>2.430117448384678E-2</c:v>
                </c:pt>
                <c:pt idx="37">
                  <c:v>2.5525141951470154E-2</c:v>
                </c:pt>
                <c:pt idx="38">
                  <c:v>2.44709983913916E-2</c:v>
                </c:pt>
                <c:pt idx="39">
                  <c:v>2.5724411200087657E-2</c:v>
                </c:pt>
                <c:pt idx="40">
                  <c:v>2.4548124991128347E-2</c:v>
                </c:pt>
                <c:pt idx="41">
                  <c:v>2.5509060547522527E-2</c:v>
                </c:pt>
                <c:pt idx="42">
                  <c:v>2.442580182152173E-2</c:v>
                </c:pt>
                <c:pt idx="43">
                  <c:v>2.5458694668790915E-2</c:v>
                </c:pt>
                <c:pt idx="44">
                  <c:v>2.5088701057430274E-2</c:v>
                </c:pt>
                <c:pt idx="45">
                  <c:v>2.3802302796599274E-2</c:v>
                </c:pt>
                <c:pt idx="46">
                  <c:v>2.4202483740798805E-2</c:v>
                </c:pt>
                <c:pt idx="47">
                  <c:v>2.592673150367843E-2</c:v>
                </c:pt>
                <c:pt idx="48">
                  <c:v>2.3008229285504046E-2</c:v>
                </c:pt>
                <c:pt idx="49">
                  <c:v>2.5877110219103737E-2</c:v>
                </c:pt>
                <c:pt idx="50">
                  <c:v>2.5719951958474169E-2</c:v>
                </c:pt>
                <c:pt idx="51">
                  <c:v>2.58079255809925E-2</c:v>
                </c:pt>
                <c:pt idx="52">
                  <c:v>2.5942547731485091E-2</c:v>
                </c:pt>
                <c:pt idx="53">
                  <c:v>2.4609229740745846E-2</c:v>
                </c:pt>
                <c:pt idx="54">
                  <c:v>2.4896656821542129E-2</c:v>
                </c:pt>
                <c:pt idx="55">
                  <c:v>2.3950995937530202E-2</c:v>
                </c:pt>
                <c:pt idx="56">
                  <c:v>2.4984690812971482E-2</c:v>
                </c:pt>
                <c:pt idx="57">
                  <c:v>2.5023550248199439E-2</c:v>
                </c:pt>
                <c:pt idx="58">
                  <c:v>2.4869075049761387E-2</c:v>
                </c:pt>
                <c:pt idx="59">
                  <c:v>2.5328860721677528E-2</c:v>
                </c:pt>
                <c:pt idx="60">
                  <c:v>2.4921544336825731E-2</c:v>
                </c:pt>
                <c:pt idx="61">
                  <c:v>2.5490102915770977E-2</c:v>
                </c:pt>
                <c:pt idx="62">
                  <c:v>2.4586655932850768E-2</c:v>
                </c:pt>
                <c:pt idx="63">
                  <c:v>2.5397249431331533E-2</c:v>
                </c:pt>
                <c:pt idx="64">
                  <c:v>2.5438256659554497E-2</c:v>
                </c:pt>
                <c:pt idx="65">
                  <c:v>2.5866414735343141E-2</c:v>
                </c:pt>
                <c:pt idx="66">
                  <c:v>2.5021178360383946E-2</c:v>
                </c:pt>
                <c:pt idx="67">
                  <c:v>2.6229388206375947E-2</c:v>
                </c:pt>
                <c:pt idx="68">
                  <c:v>2.5377754358248867E-2</c:v>
                </c:pt>
                <c:pt idx="69">
                  <c:v>2.5963935060778761E-2</c:v>
                </c:pt>
                <c:pt idx="70">
                  <c:v>2.5106654405671378E-2</c:v>
                </c:pt>
                <c:pt idx="71">
                  <c:v>2.4300612753819111E-2</c:v>
                </c:pt>
                <c:pt idx="72">
                  <c:v>2.4458362912533733E-2</c:v>
                </c:pt>
                <c:pt idx="73">
                  <c:v>2.4667842407244969E-2</c:v>
                </c:pt>
                <c:pt idx="74">
                  <c:v>2.5643874306601817E-2</c:v>
                </c:pt>
                <c:pt idx="75">
                  <c:v>2.5708376177110415E-2</c:v>
                </c:pt>
                <c:pt idx="76">
                  <c:v>2.5181527672823337E-2</c:v>
                </c:pt>
                <c:pt idx="77">
                  <c:v>2.5592170683728106E-2</c:v>
                </c:pt>
                <c:pt idx="78">
                  <c:v>2.5477843559069891E-2</c:v>
                </c:pt>
                <c:pt idx="79">
                  <c:v>2.4145793234674189E-2</c:v>
                </c:pt>
                <c:pt idx="80">
                  <c:v>2.5792459598667206E-2</c:v>
                </c:pt>
                <c:pt idx="81">
                  <c:v>2.658776846896678E-2</c:v>
                </c:pt>
                <c:pt idx="82">
                  <c:v>2.517107512206699E-2</c:v>
                </c:pt>
                <c:pt idx="83">
                  <c:v>2.4957712862411136E-2</c:v>
                </c:pt>
                <c:pt idx="84">
                  <c:v>2.534895240897227E-2</c:v>
                </c:pt>
                <c:pt idx="85">
                  <c:v>2.6159423344894961E-2</c:v>
                </c:pt>
                <c:pt idx="86">
                  <c:v>2.4203728834164516E-2</c:v>
                </c:pt>
                <c:pt idx="87">
                  <c:v>2.633298189557759E-2</c:v>
                </c:pt>
                <c:pt idx="88">
                  <c:v>2.4721260728540476E-2</c:v>
                </c:pt>
                <c:pt idx="89">
                  <c:v>2.5787787714732308E-2</c:v>
                </c:pt>
                <c:pt idx="90">
                  <c:v>2.3885644334516638E-2</c:v>
                </c:pt>
                <c:pt idx="91">
                  <c:v>2.4452100833113149E-2</c:v>
                </c:pt>
                <c:pt idx="92">
                  <c:v>2.4743625120556386E-2</c:v>
                </c:pt>
                <c:pt idx="93">
                  <c:v>2.5612157808233643E-2</c:v>
                </c:pt>
                <c:pt idx="94">
                  <c:v>2.5373736575695513E-2</c:v>
                </c:pt>
                <c:pt idx="95">
                  <c:v>2.4674025882319862E-2</c:v>
                </c:pt>
                <c:pt idx="96">
                  <c:v>2.5887147757238081E-2</c:v>
                </c:pt>
                <c:pt idx="97">
                  <c:v>2.5883641721032663E-2</c:v>
                </c:pt>
                <c:pt idx="98">
                  <c:v>2.5195717363383389E-2</c:v>
                </c:pt>
                <c:pt idx="99">
                  <c:v>2.6369832282881187E-2</c:v>
                </c:pt>
              </c:numCache>
            </c:numRef>
          </c:val>
        </c:ser>
        <c:ser>
          <c:idx val="2"/>
          <c:order val="2"/>
          <c:cat>
            <c:strRef>
              <c:f>'Interest Rate Simulation'!$A$115:$A$214</c:f>
              <c:strCache>
                <c:ptCount val="100"/>
                <c:pt idx="0">
                  <c:v>rt1</c:v>
                </c:pt>
                <c:pt idx="1">
                  <c:v>rt2</c:v>
                </c:pt>
                <c:pt idx="2">
                  <c:v>rt3</c:v>
                </c:pt>
                <c:pt idx="3">
                  <c:v>rt4</c:v>
                </c:pt>
                <c:pt idx="4">
                  <c:v>rt5</c:v>
                </c:pt>
                <c:pt idx="5">
                  <c:v>rt6</c:v>
                </c:pt>
                <c:pt idx="6">
                  <c:v>rt7</c:v>
                </c:pt>
                <c:pt idx="7">
                  <c:v>rt8</c:v>
                </c:pt>
                <c:pt idx="8">
                  <c:v>rt9</c:v>
                </c:pt>
                <c:pt idx="9">
                  <c:v>rt10</c:v>
                </c:pt>
                <c:pt idx="10">
                  <c:v>rt11</c:v>
                </c:pt>
                <c:pt idx="11">
                  <c:v>rt12</c:v>
                </c:pt>
                <c:pt idx="12">
                  <c:v>rt13</c:v>
                </c:pt>
                <c:pt idx="13">
                  <c:v>rt14</c:v>
                </c:pt>
                <c:pt idx="14">
                  <c:v>rt15</c:v>
                </c:pt>
                <c:pt idx="15">
                  <c:v>rt16</c:v>
                </c:pt>
                <c:pt idx="16">
                  <c:v>rt17</c:v>
                </c:pt>
                <c:pt idx="17">
                  <c:v>rt18</c:v>
                </c:pt>
                <c:pt idx="18">
                  <c:v>rt19</c:v>
                </c:pt>
                <c:pt idx="19">
                  <c:v>rt20</c:v>
                </c:pt>
                <c:pt idx="20">
                  <c:v>rt21</c:v>
                </c:pt>
                <c:pt idx="21">
                  <c:v>rt22</c:v>
                </c:pt>
                <c:pt idx="22">
                  <c:v>rt23</c:v>
                </c:pt>
                <c:pt idx="23">
                  <c:v>rt24</c:v>
                </c:pt>
                <c:pt idx="24">
                  <c:v>rt25</c:v>
                </c:pt>
                <c:pt idx="25">
                  <c:v>rt26</c:v>
                </c:pt>
                <c:pt idx="26">
                  <c:v>rt27</c:v>
                </c:pt>
                <c:pt idx="27">
                  <c:v>rt28</c:v>
                </c:pt>
                <c:pt idx="28">
                  <c:v>rt29</c:v>
                </c:pt>
                <c:pt idx="29">
                  <c:v>rt30</c:v>
                </c:pt>
                <c:pt idx="30">
                  <c:v>rt31</c:v>
                </c:pt>
                <c:pt idx="31">
                  <c:v>rt32</c:v>
                </c:pt>
                <c:pt idx="32">
                  <c:v>rt33</c:v>
                </c:pt>
                <c:pt idx="33">
                  <c:v>rt34</c:v>
                </c:pt>
                <c:pt idx="34">
                  <c:v>rt35</c:v>
                </c:pt>
                <c:pt idx="35">
                  <c:v>rt36</c:v>
                </c:pt>
                <c:pt idx="36">
                  <c:v>rt37</c:v>
                </c:pt>
                <c:pt idx="37">
                  <c:v>rt38</c:v>
                </c:pt>
                <c:pt idx="38">
                  <c:v>rt39</c:v>
                </c:pt>
                <c:pt idx="39">
                  <c:v>rt40</c:v>
                </c:pt>
                <c:pt idx="40">
                  <c:v>rt41</c:v>
                </c:pt>
                <c:pt idx="41">
                  <c:v>rt42</c:v>
                </c:pt>
                <c:pt idx="42">
                  <c:v>rt43</c:v>
                </c:pt>
                <c:pt idx="43">
                  <c:v>rt44</c:v>
                </c:pt>
                <c:pt idx="44">
                  <c:v>rt45</c:v>
                </c:pt>
                <c:pt idx="45">
                  <c:v>rt46</c:v>
                </c:pt>
                <c:pt idx="46">
                  <c:v>rt47</c:v>
                </c:pt>
                <c:pt idx="47">
                  <c:v>rt48</c:v>
                </c:pt>
                <c:pt idx="48">
                  <c:v>rt49</c:v>
                </c:pt>
                <c:pt idx="49">
                  <c:v>rt50</c:v>
                </c:pt>
                <c:pt idx="50">
                  <c:v>rt51</c:v>
                </c:pt>
                <c:pt idx="51">
                  <c:v>rt52</c:v>
                </c:pt>
                <c:pt idx="52">
                  <c:v>rt53</c:v>
                </c:pt>
                <c:pt idx="53">
                  <c:v>rt54</c:v>
                </c:pt>
                <c:pt idx="54">
                  <c:v>rt55</c:v>
                </c:pt>
                <c:pt idx="55">
                  <c:v>rt56</c:v>
                </c:pt>
                <c:pt idx="56">
                  <c:v>rt57</c:v>
                </c:pt>
                <c:pt idx="57">
                  <c:v>rt58</c:v>
                </c:pt>
                <c:pt idx="58">
                  <c:v>rt59</c:v>
                </c:pt>
                <c:pt idx="59">
                  <c:v>rt60</c:v>
                </c:pt>
                <c:pt idx="60">
                  <c:v>rt61</c:v>
                </c:pt>
                <c:pt idx="61">
                  <c:v>rt62</c:v>
                </c:pt>
                <c:pt idx="62">
                  <c:v>rt63</c:v>
                </c:pt>
                <c:pt idx="63">
                  <c:v>rt64</c:v>
                </c:pt>
                <c:pt idx="64">
                  <c:v>rt65</c:v>
                </c:pt>
                <c:pt idx="65">
                  <c:v>rt66</c:v>
                </c:pt>
                <c:pt idx="66">
                  <c:v>rt67</c:v>
                </c:pt>
                <c:pt idx="67">
                  <c:v>rt68</c:v>
                </c:pt>
                <c:pt idx="68">
                  <c:v>rt69</c:v>
                </c:pt>
                <c:pt idx="69">
                  <c:v>rt70</c:v>
                </c:pt>
                <c:pt idx="70">
                  <c:v>rt71</c:v>
                </c:pt>
                <c:pt idx="71">
                  <c:v>rt72</c:v>
                </c:pt>
                <c:pt idx="72">
                  <c:v>rt73</c:v>
                </c:pt>
                <c:pt idx="73">
                  <c:v>rt74</c:v>
                </c:pt>
                <c:pt idx="74">
                  <c:v>rt75</c:v>
                </c:pt>
                <c:pt idx="75">
                  <c:v>rt76</c:v>
                </c:pt>
                <c:pt idx="76">
                  <c:v>rt77</c:v>
                </c:pt>
                <c:pt idx="77">
                  <c:v>rt78</c:v>
                </c:pt>
                <c:pt idx="78">
                  <c:v>rt79</c:v>
                </c:pt>
                <c:pt idx="79">
                  <c:v>rt80</c:v>
                </c:pt>
                <c:pt idx="80">
                  <c:v>rt81</c:v>
                </c:pt>
                <c:pt idx="81">
                  <c:v>rt82</c:v>
                </c:pt>
                <c:pt idx="82">
                  <c:v>rt83</c:v>
                </c:pt>
                <c:pt idx="83">
                  <c:v>rt84</c:v>
                </c:pt>
                <c:pt idx="84">
                  <c:v>rt85</c:v>
                </c:pt>
                <c:pt idx="85">
                  <c:v>rt86</c:v>
                </c:pt>
                <c:pt idx="86">
                  <c:v>rt87</c:v>
                </c:pt>
                <c:pt idx="87">
                  <c:v>rt88</c:v>
                </c:pt>
                <c:pt idx="88">
                  <c:v>rt89</c:v>
                </c:pt>
                <c:pt idx="89">
                  <c:v>rt90</c:v>
                </c:pt>
                <c:pt idx="90">
                  <c:v>rt91</c:v>
                </c:pt>
                <c:pt idx="91">
                  <c:v>rt92</c:v>
                </c:pt>
                <c:pt idx="92">
                  <c:v>rt93</c:v>
                </c:pt>
                <c:pt idx="93">
                  <c:v>rt94</c:v>
                </c:pt>
                <c:pt idx="94">
                  <c:v>rt95</c:v>
                </c:pt>
                <c:pt idx="95">
                  <c:v>rt96</c:v>
                </c:pt>
                <c:pt idx="96">
                  <c:v>rt97</c:v>
                </c:pt>
                <c:pt idx="97">
                  <c:v>rt98</c:v>
                </c:pt>
                <c:pt idx="98">
                  <c:v>rt99</c:v>
                </c:pt>
                <c:pt idx="99">
                  <c:v>rt100</c:v>
                </c:pt>
              </c:strCache>
            </c:strRef>
          </c:cat>
          <c:val>
            <c:numRef>
              <c:f>'Interest Rate Simulation'!$D$115:$D$214</c:f>
              <c:numCache>
                <c:formatCode>0.00%</c:formatCode>
                <c:ptCount val="100"/>
                <c:pt idx="0">
                  <c:v>2.5172398539756946E-2</c:v>
                </c:pt>
                <c:pt idx="1">
                  <c:v>2.4331022187609578E-2</c:v>
                </c:pt>
                <c:pt idx="2">
                  <c:v>2.4683445225757834E-2</c:v>
                </c:pt>
                <c:pt idx="3">
                  <c:v>2.5513061839094887E-2</c:v>
                </c:pt>
                <c:pt idx="4">
                  <c:v>2.5844579987032646E-2</c:v>
                </c:pt>
                <c:pt idx="5">
                  <c:v>2.6041651056082363E-2</c:v>
                </c:pt>
                <c:pt idx="6">
                  <c:v>2.3304216533593238E-2</c:v>
                </c:pt>
                <c:pt idx="7">
                  <c:v>2.5010584552375426E-2</c:v>
                </c:pt>
                <c:pt idx="8">
                  <c:v>2.4592488092622725E-2</c:v>
                </c:pt>
                <c:pt idx="9">
                  <c:v>2.446521808548531E-2</c:v>
                </c:pt>
                <c:pt idx="10">
                  <c:v>2.4444475439642351E-2</c:v>
                </c:pt>
                <c:pt idx="11">
                  <c:v>2.3472365164578846E-2</c:v>
                </c:pt>
                <c:pt idx="12">
                  <c:v>2.593142080808011E-2</c:v>
                </c:pt>
                <c:pt idx="13">
                  <c:v>2.4930223312257922E-2</c:v>
                </c:pt>
                <c:pt idx="14">
                  <c:v>2.6853833582315637E-2</c:v>
                </c:pt>
                <c:pt idx="15">
                  <c:v>2.3918881433843929E-2</c:v>
                </c:pt>
                <c:pt idx="16">
                  <c:v>2.4739409859951801E-2</c:v>
                </c:pt>
                <c:pt idx="17">
                  <c:v>2.509650418301361E-2</c:v>
                </c:pt>
                <c:pt idx="18">
                  <c:v>2.4984284412704866E-2</c:v>
                </c:pt>
                <c:pt idx="19">
                  <c:v>2.3377632692509222E-2</c:v>
                </c:pt>
                <c:pt idx="20">
                  <c:v>2.5429465124993236E-2</c:v>
                </c:pt>
                <c:pt idx="21">
                  <c:v>2.4892099948881998E-2</c:v>
                </c:pt>
                <c:pt idx="22">
                  <c:v>2.6194977443521991E-2</c:v>
                </c:pt>
                <c:pt idx="23">
                  <c:v>2.3422880059058713E-2</c:v>
                </c:pt>
                <c:pt idx="24">
                  <c:v>2.6525777340108005E-2</c:v>
                </c:pt>
                <c:pt idx="25">
                  <c:v>2.5760161863753007E-2</c:v>
                </c:pt>
                <c:pt idx="26">
                  <c:v>2.8388265957403552E-2</c:v>
                </c:pt>
                <c:pt idx="27">
                  <c:v>2.6570489153641547E-2</c:v>
                </c:pt>
                <c:pt idx="28">
                  <c:v>2.4855862059275233E-2</c:v>
                </c:pt>
                <c:pt idx="29">
                  <c:v>2.5090947649533402E-2</c:v>
                </c:pt>
                <c:pt idx="30">
                  <c:v>2.6320820563252204E-2</c:v>
                </c:pt>
                <c:pt idx="31">
                  <c:v>2.5454539157577612E-2</c:v>
                </c:pt>
                <c:pt idx="32">
                  <c:v>2.553814923121769E-2</c:v>
                </c:pt>
                <c:pt idx="33">
                  <c:v>2.538907037097346E-2</c:v>
                </c:pt>
                <c:pt idx="34">
                  <c:v>2.3566536583429408E-2</c:v>
                </c:pt>
                <c:pt idx="35">
                  <c:v>2.4793776414386147E-2</c:v>
                </c:pt>
                <c:pt idx="36">
                  <c:v>2.4381302338591426E-2</c:v>
                </c:pt>
                <c:pt idx="37">
                  <c:v>2.3981516798830926E-2</c:v>
                </c:pt>
                <c:pt idx="38">
                  <c:v>2.5080187407326645E-2</c:v>
                </c:pt>
                <c:pt idx="39">
                  <c:v>2.7206078276715236E-2</c:v>
                </c:pt>
                <c:pt idx="40">
                  <c:v>2.485390676486271E-2</c:v>
                </c:pt>
                <c:pt idx="41">
                  <c:v>2.4817805120562975E-2</c:v>
                </c:pt>
                <c:pt idx="42">
                  <c:v>2.4491009953759503E-2</c:v>
                </c:pt>
                <c:pt idx="43">
                  <c:v>2.5916854763742028E-2</c:v>
                </c:pt>
                <c:pt idx="44">
                  <c:v>2.5349621502829441E-2</c:v>
                </c:pt>
                <c:pt idx="45">
                  <c:v>2.3669795792449391E-2</c:v>
                </c:pt>
                <c:pt idx="46">
                  <c:v>2.4351280620656199E-2</c:v>
                </c:pt>
                <c:pt idx="47">
                  <c:v>2.616342784873936E-2</c:v>
                </c:pt>
                <c:pt idx="48">
                  <c:v>2.2918474149146141E-2</c:v>
                </c:pt>
                <c:pt idx="49">
                  <c:v>2.7083957742330314E-2</c:v>
                </c:pt>
                <c:pt idx="50">
                  <c:v>2.5269681224467658E-2</c:v>
                </c:pt>
                <c:pt idx="51">
                  <c:v>2.5537428256471432E-2</c:v>
                </c:pt>
                <c:pt idx="52">
                  <c:v>2.6679446309209154E-2</c:v>
                </c:pt>
                <c:pt idx="53">
                  <c:v>2.4263273703693581E-2</c:v>
                </c:pt>
                <c:pt idx="54">
                  <c:v>2.349100473332107E-2</c:v>
                </c:pt>
                <c:pt idx="55">
                  <c:v>2.4012565779138854E-2</c:v>
                </c:pt>
                <c:pt idx="56">
                  <c:v>2.5301968097713574E-2</c:v>
                </c:pt>
                <c:pt idx="57">
                  <c:v>2.4588799852698268E-2</c:v>
                </c:pt>
                <c:pt idx="58">
                  <c:v>2.550557978003069E-2</c:v>
                </c:pt>
                <c:pt idx="59">
                  <c:v>2.5943630214025706E-2</c:v>
                </c:pt>
                <c:pt idx="60">
                  <c:v>2.409361383431145E-2</c:v>
                </c:pt>
                <c:pt idx="61">
                  <c:v>2.6731232467810416E-2</c:v>
                </c:pt>
                <c:pt idx="62">
                  <c:v>2.5044556836951854E-2</c:v>
                </c:pt>
                <c:pt idx="63">
                  <c:v>2.5330287662042501E-2</c:v>
                </c:pt>
                <c:pt idx="64">
                  <c:v>2.4518222312873462E-2</c:v>
                </c:pt>
                <c:pt idx="65">
                  <c:v>2.6764401044841377E-2</c:v>
                </c:pt>
                <c:pt idx="66">
                  <c:v>2.466157737979148E-2</c:v>
                </c:pt>
                <c:pt idx="67">
                  <c:v>2.6022143062059602E-2</c:v>
                </c:pt>
                <c:pt idx="68">
                  <c:v>2.3788895657190313E-2</c:v>
                </c:pt>
                <c:pt idx="69">
                  <c:v>2.6195248823416638E-2</c:v>
                </c:pt>
                <c:pt idx="70">
                  <c:v>2.5840428754179905E-2</c:v>
                </c:pt>
                <c:pt idx="71">
                  <c:v>2.506215136305126E-2</c:v>
                </c:pt>
                <c:pt idx="72">
                  <c:v>2.501830961813778E-2</c:v>
                </c:pt>
                <c:pt idx="73">
                  <c:v>2.5055491079349585E-2</c:v>
                </c:pt>
                <c:pt idx="74">
                  <c:v>2.6067895116888506E-2</c:v>
                </c:pt>
                <c:pt idx="75">
                  <c:v>2.5275886647964211E-2</c:v>
                </c:pt>
                <c:pt idx="76">
                  <c:v>2.5986597543734499E-2</c:v>
                </c:pt>
                <c:pt idx="77">
                  <c:v>2.5208762411841057E-2</c:v>
                </c:pt>
                <c:pt idx="78">
                  <c:v>2.6615042883432645E-2</c:v>
                </c:pt>
                <c:pt idx="79">
                  <c:v>2.3091959038881893E-2</c:v>
                </c:pt>
                <c:pt idx="80">
                  <c:v>2.4830849643835799E-2</c:v>
                </c:pt>
                <c:pt idx="81">
                  <c:v>2.7161043022837488E-2</c:v>
                </c:pt>
                <c:pt idx="82">
                  <c:v>2.666707976540221E-2</c:v>
                </c:pt>
                <c:pt idx="83">
                  <c:v>2.3518156997928058E-2</c:v>
                </c:pt>
                <c:pt idx="84">
                  <c:v>2.5302708992298344E-2</c:v>
                </c:pt>
                <c:pt idx="85">
                  <c:v>2.6167997878434816E-2</c:v>
                </c:pt>
                <c:pt idx="86">
                  <c:v>2.4414353017977612E-2</c:v>
                </c:pt>
                <c:pt idx="87">
                  <c:v>2.6187984375609968E-2</c:v>
                </c:pt>
                <c:pt idx="88">
                  <c:v>2.6199209051498945E-2</c:v>
                </c:pt>
                <c:pt idx="89">
                  <c:v>2.586885551941322E-2</c:v>
                </c:pt>
                <c:pt idx="90">
                  <c:v>2.3859383224447396E-2</c:v>
                </c:pt>
                <c:pt idx="91">
                  <c:v>2.4109700611434533E-2</c:v>
                </c:pt>
                <c:pt idx="92">
                  <c:v>2.4603115426395317E-2</c:v>
                </c:pt>
                <c:pt idx="93">
                  <c:v>2.5435850200613466E-2</c:v>
                </c:pt>
                <c:pt idx="94">
                  <c:v>2.4402041412210345E-2</c:v>
                </c:pt>
                <c:pt idx="95">
                  <c:v>2.4575696794276212E-2</c:v>
                </c:pt>
                <c:pt idx="96">
                  <c:v>2.6408895520308305E-2</c:v>
                </c:pt>
                <c:pt idx="97">
                  <c:v>2.7198231834372602E-2</c:v>
                </c:pt>
                <c:pt idx="98">
                  <c:v>2.4959525127825694E-2</c:v>
                </c:pt>
                <c:pt idx="99">
                  <c:v>2.5438849541164422E-2</c:v>
                </c:pt>
              </c:numCache>
            </c:numRef>
          </c:val>
        </c:ser>
        <c:ser>
          <c:idx val="3"/>
          <c:order val="3"/>
          <c:cat>
            <c:strRef>
              <c:f>'Interest Rate Simulation'!$A$115:$A$214</c:f>
              <c:strCache>
                <c:ptCount val="100"/>
                <c:pt idx="0">
                  <c:v>rt1</c:v>
                </c:pt>
                <c:pt idx="1">
                  <c:v>rt2</c:v>
                </c:pt>
                <c:pt idx="2">
                  <c:v>rt3</c:v>
                </c:pt>
                <c:pt idx="3">
                  <c:v>rt4</c:v>
                </c:pt>
                <c:pt idx="4">
                  <c:v>rt5</c:v>
                </c:pt>
                <c:pt idx="5">
                  <c:v>rt6</c:v>
                </c:pt>
                <c:pt idx="6">
                  <c:v>rt7</c:v>
                </c:pt>
                <c:pt idx="7">
                  <c:v>rt8</c:v>
                </c:pt>
                <c:pt idx="8">
                  <c:v>rt9</c:v>
                </c:pt>
                <c:pt idx="9">
                  <c:v>rt10</c:v>
                </c:pt>
                <c:pt idx="10">
                  <c:v>rt11</c:v>
                </c:pt>
                <c:pt idx="11">
                  <c:v>rt12</c:v>
                </c:pt>
                <c:pt idx="12">
                  <c:v>rt13</c:v>
                </c:pt>
                <c:pt idx="13">
                  <c:v>rt14</c:v>
                </c:pt>
                <c:pt idx="14">
                  <c:v>rt15</c:v>
                </c:pt>
                <c:pt idx="15">
                  <c:v>rt16</c:v>
                </c:pt>
                <c:pt idx="16">
                  <c:v>rt17</c:v>
                </c:pt>
                <c:pt idx="17">
                  <c:v>rt18</c:v>
                </c:pt>
                <c:pt idx="18">
                  <c:v>rt19</c:v>
                </c:pt>
                <c:pt idx="19">
                  <c:v>rt20</c:v>
                </c:pt>
                <c:pt idx="20">
                  <c:v>rt21</c:v>
                </c:pt>
                <c:pt idx="21">
                  <c:v>rt22</c:v>
                </c:pt>
                <c:pt idx="22">
                  <c:v>rt23</c:v>
                </c:pt>
                <c:pt idx="23">
                  <c:v>rt24</c:v>
                </c:pt>
                <c:pt idx="24">
                  <c:v>rt25</c:v>
                </c:pt>
                <c:pt idx="25">
                  <c:v>rt26</c:v>
                </c:pt>
                <c:pt idx="26">
                  <c:v>rt27</c:v>
                </c:pt>
                <c:pt idx="27">
                  <c:v>rt28</c:v>
                </c:pt>
                <c:pt idx="28">
                  <c:v>rt29</c:v>
                </c:pt>
                <c:pt idx="29">
                  <c:v>rt30</c:v>
                </c:pt>
                <c:pt idx="30">
                  <c:v>rt31</c:v>
                </c:pt>
                <c:pt idx="31">
                  <c:v>rt32</c:v>
                </c:pt>
                <c:pt idx="32">
                  <c:v>rt33</c:v>
                </c:pt>
                <c:pt idx="33">
                  <c:v>rt34</c:v>
                </c:pt>
                <c:pt idx="34">
                  <c:v>rt35</c:v>
                </c:pt>
                <c:pt idx="35">
                  <c:v>rt36</c:v>
                </c:pt>
                <c:pt idx="36">
                  <c:v>rt37</c:v>
                </c:pt>
                <c:pt idx="37">
                  <c:v>rt38</c:v>
                </c:pt>
                <c:pt idx="38">
                  <c:v>rt39</c:v>
                </c:pt>
                <c:pt idx="39">
                  <c:v>rt40</c:v>
                </c:pt>
                <c:pt idx="40">
                  <c:v>rt41</c:v>
                </c:pt>
                <c:pt idx="41">
                  <c:v>rt42</c:v>
                </c:pt>
                <c:pt idx="42">
                  <c:v>rt43</c:v>
                </c:pt>
                <c:pt idx="43">
                  <c:v>rt44</c:v>
                </c:pt>
                <c:pt idx="44">
                  <c:v>rt45</c:v>
                </c:pt>
                <c:pt idx="45">
                  <c:v>rt46</c:v>
                </c:pt>
                <c:pt idx="46">
                  <c:v>rt47</c:v>
                </c:pt>
                <c:pt idx="47">
                  <c:v>rt48</c:v>
                </c:pt>
                <c:pt idx="48">
                  <c:v>rt49</c:v>
                </c:pt>
                <c:pt idx="49">
                  <c:v>rt50</c:v>
                </c:pt>
                <c:pt idx="50">
                  <c:v>rt51</c:v>
                </c:pt>
                <c:pt idx="51">
                  <c:v>rt52</c:v>
                </c:pt>
                <c:pt idx="52">
                  <c:v>rt53</c:v>
                </c:pt>
                <c:pt idx="53">
                  <c:v>rt54</c:v>
                </c:pt>
                <c:pt idx="54">
                  <c:v>rt55</c:v>
                </c:pt>
                <c:pt idx="55">
                  <c:v>rt56</c:v>
                </c:pt>
                <c:pt idx="56">
                  <c:v>rt57</c:v>
                </c:pt>
                <c:pt idx="57">
                  <c:v>rt58</c:v>
                </c:pt>
                <c:pt idx="58">
                  <c:v>rt59</c:v>
                </c:pt>
                <c:pt idx="59">
                  <c:v>rt60</c:v>
                </c:pt>
                <c:pt idx="60">
                  <c:v>rt61</c:v>
                </c:pt>
                <c:pt idx="61">
                  <c:v>rt62</c:v>
                </c:pt>
                <c:pt idx="62">
                  <c:v>rt63</c:v>
                </c:pt>
                <c:pt idx="63">
                  <c:v>rt64</c:v>
                </c:pt>
                <c:pt idx="64">
                  <c:v>rt65</c:v>
                </c:pt>
                <c:pt idx="65">
                  <c:v>rt66</c:v>
                </c:pt>
                <c:pt idx="66">
                  <c:v>rt67</c:v>
                </c:pt>
                <c:pt idx="67">
                  <c:v>rt68</c:v>
                </c:pt>
                <c:pt idx="68">
                  <c:v>rt69</c:v>
                </c:pt>
                <c:pt idx="69">
                  <c:v>rt70</c:v>
                </c:pt>
                <c:pt idx="70">
                  <c:v>rt71</c:v>
                </c:pt>
                <c:pt idx="71">
                  <c:v>rt72</c:v>
                </c:pt>
                <c:pt idx="72">
                  <c:v>rt73</c:v>
                </c:pt>
                <c:pt idx="73">
                  <c:v>rt74</c:v>
                </c:pt>
                <c:pt idx="74">
                  <c:v>rt75</c:v>
                </c:pt>
                <c:pt idx="75">
                  <c:v>rt76</c:v>
                </c:pt>
                <c:pt idx="76">
                  <c:v>rt77</c:v>
                </c:pt>
                <c:pt idx="77">
                  <c:v>rt78</c:v>
                </c:pt>
                <c:pt idx="78">
                  <c:v>rt79</c:v>
                </c:pt>
                <c:pt idx="79">
                  <c:v>rt80</c:v>
                </c:pt>
                <c:pt idx="80">
                  <c:v>rt81</c:v>
                </c:pt>
                <c:pt idx="81">
                  <c:v>rt82</c:v>
                </c:pt>
                <c:pt idx="82">
                  <c:v>rt83</c:v>
                </c:pt>
                <c:pt idx="83">
                  <c:v>rt84</c:v>
                </c:pt>
                <c:pt idx="84">
                  <c:v>rt85</c:v>
                </c:pt>
                <c:pt idx="85">
                  <c:v>rt86</c:v>
                </c:pt>
                <c:pt idx="86">
                  <c:v>rt87</c:v>
                </c:pt>
                <c:pt idx="87">
                  <c:v>rt88</c:v>
                </c:pt>
                <c:pt idx="88">
                  <c:v>rt89</c:v>
                </c:pt>
                <c:pt idx="89">
                  <c:v>rt90</c:v>
                </c:pt>
                <c:pt idx="90">
                  <c:v>rt91</c:v>
                </c:pt>
                <c:pt idx="91">
                  <c:v>rt92</c:v>
                </c:pt>
                <c:pt idx="92">
                  <c:v>rt93</c:v>
                </c:pt>
                <c:pt idx="93">
                  <c:v>rt94</c:v>
                </c:pt>
                <c:pt idx="94">
                  <c:v>rt95</c:v>
                </c:pt>
                <c:pt idx="95">
                  <c:v>rt96</c:v>
                </c:pt>
                <c:pt idx="96">
                  <c:v>rt97</c:v>
                </c:pt>
                <c:pt idx="97">
                  <c:v>rt98</c:v>
                </c:pt>
                <c:pt idx="98">
                  <c:v>rt99</c:v>
                </c:pt>
                <c:pt idx="99">
                  <c:v>rt100</c:v>
                </c:pt>
              </c:strCache>
            </c:strRef>
          </c:cat>
          <c:val>
            <c:numRef>
              <c:f>'Interest Rate Simulation'!$E$115:$E$214</c:f>
              <c:numCache>
                <c:formatCode>0.00%</c:formatCode>
                <c:ptCount val="100"/>
                <c:pt idx="0">
                  <c:v>2.4912769732479592E-2</c:v>
                </c:pt>
                <c:pt idx="1">
                  <c:v>2.3729328089362497E-2</c:v>
                </c:pt>
                <c:pt idx="2">
                  <c:v>2.3383701003995103E-2</c:v>
                </c:pt>
                <c:pt idx="3">
                  <c:v>2.5940375454105907E-2</c:v>
                </c:pt>
                <c:pt idx="4">
                  <c:v>2.7161029298872961E-2</c:v>
                </c:pt>
                <c:pt idx="5">
                  <c:v>2.58603112680117E-2</c:v>
                </c:pt>
                <c:pt idx="6">
                  <c:v>2.3735469533711692E-2</c:v>
                </c:pt>
                <c:pt idx="7">
                  <c:v>2.4424066310789163E-2</c:v>
                </c:pt>
                <c:pt idx="8">
                  <c:v>2.4832587714019784E-2</c:v>
                </c:pt>
                <c:pt idx="9">
                  <c:v>2.468225679193467E-2</c:v>
                </c:pt>
                <c:pt idx="10">
                  <c:v>2.6265226114280164E-2</c:v>
                </c:pt>
                <c:pt idx="11">
                  <c:v>2.5019201540223728E-2</c:v>
                </c:pt>
                <c:pt idx="12">
                  <c:v>2.6457066018521717E-2</c:v>
                </c:pt>
                <c:pt idx="13">
                  <c:v>2.4883280669289208E-2</c:v>
                </c:pt>
                <c:pt idx="14">
                  <c:v>2.8376789654789413E-2</c:v>
                </c:pt>
                <c:pt idx="15">
                  <c:v>2.5426432261048307E-2</c:v>
                </c:pt>
                <c:pt idx="16">
                  <c:v>2.4951064224688489E-2</c:v>
                </c:pt>
                <c:pt idx="17">
                  <c:v>2.5221858882268099E-2</c:v>
                </c:pt>
                <c:pt idx="18">
                  <c:v>2.4767542184913272E-2</c:v>
                </c:pt>
                <c:pt idx="19">
                  <c:v>2.2913079143024189E-2</c:v>
                </c:pt>
                <c:pt idx="20">
                  <c:v>2.3962420931546893E-2</c:v>
                </c:pt>
                <c:pt idx="21">
                  <c:v>2.5462489366926928E-2</c:v>
                </c:pt>
                <c:pt idx="22">
                  <c:v>2.7534671569147975E-2</c:v>
                </c:pt>
                <c:pt idx="23">
                  <c:v>2.4171939697410119E-2</c:v>
                </c:pt>
                <c:pt idx="24">
                  <c:v>2.6268436593944015E-2</c:v>
                </c:pt>
                <c:pt idx="25">
                  <c:v>2.4733076815963633E-2</c:v>
                </c:pt>
                <c:pt idx="26">
                  <c:v>2.9472104511043734E-2</c:v>
                </c:pt>
                <c:pt idx="27">
                  <c:v>2.6288527525222385E-2</c:v>
                </c:pt>
                <c:pt idx="28">
                  <c:v>2.4279750459884987E-2</c:v>
                </c:pt>
                <c:pt idx="29">
                  <c:v>2.5712244019122196E-2</c:v>
                </c:pt>
                <c:pt idx="30">
                  <c:v>2.6223901715002627E-2</c:v>
                </c:pt>
                <c:pt idx="31">
                  <c:v>2.5066259178192551E-2</c:v>
                </c:pt>
                <c:pt idx="32">
                  <c:v>2.4497233622843635E-2</c:v>
                </c:pt>
                <c:pt idx="33">
                  <c:v>2.5312705896945866E-2</c:v>
                </c:pt>
                <c:pt idx="34">
                  <c:v>2.3039883040832352E-2</c:v>
                </c:pt>
                <c:pt idx="35">
                  <c:v>2.4268160597682373E-2</c:v>
                </c:pt>
                <c:pt idx="36">
                  <c:v>2.4006608152833054E-2</c:v>
                </c:pt>
                <c:pt idx="37">
                  <c:v>2.2592030393800314E-2</c:v>
                </c:pt>
                <c:pt idx="38">
                  <c:v>2.5472518962006221E-2</c:v>
                </c:pt>
                <c:pt idx="39">
                  <c:v>2.6704013228346313E-2</c:v>
                </c:pt>
                <c:pt idx="40">
                  <c:v>2.5433283373901938E-2</c:v>
                </c:pt>
                <c:pt idx="41">
                  <c:v>2.4543748762307763E-2</c:v>
                </c:pt>
                <c:pt idx="42">
                  <c:v>2.4334332607490468E-2</c:v>
                </c:pt>
                <c:pt idx="43">
                  <c:v>2.7119558083499858E-2</c:v>
                </c:pt>
                <c:pt idx="44">
                  <c:v>2.5447605479602977E-2</c:v>
                </c:pt>
                <c:pt idx="45">
                  <c:v>2.5211891906441276E-2</c:v>
                </c:pt>
                <c:pt idx="46">
                  <c:v>2.3969575525068138E-2</c:v>
                </c:pt>
                <c:pt idx="47">
                  <c:v>2.7773605352608824E-2</c:v>
                </c:pt>
                <c:pt idx="48">
                  <c:v>2.3251215480228581E-2</c:v>
                </c:pt>
                <c:pt idx="49">
                  <c:v>2.6378766924736494E-2</c:v>
                </c:pt>
                <c:pt idx="50">
                  <c:v>2.4519246679715345E-2</c:v>
                </c:pt>
                <c:pt idx="51">
                  <c:v>2.6682418335200481E-2</c:v>
                </c:pt>
                <c:pt idx="52">
                  <c:v>2.7045448207479776E-2</c:v>
                </c:pt>
                <c:pt idx="53">
                  <c:v>2.3489494631773657E-2</c:v>
                </c:pt>
                <c:pt idx="54">
                  <c:v>2.2585437280534745E-2</c:v>
                </c:pt>
                <c:pt idx="55">
                  <c:v>2.3441171150152616E-2</c:v>
                </c:pt>
                <c:pt idx="56">
                  <c:v>2.5289437353032837E-2</c:v>
                </c:pt>
                <c:pt idx="57">
                  <c:v>2.4091387800131876E-2</c:v>
                </c:pt>
                <c:pt idx="58">
                  <c:v>2.5922101665281964E-2</c:v>
                </c:pt>
                <c:pt idx="59">
                  <c:v>2.4967599003027797E-2</c:v>
                </c:pt>
                <c:pt idx="60">
                  <c:v>2.3618593637608994E-2</c:v>
                </c:pt>
                <c:pt idx="61">
                  <c:v>2.7211443033044673E-2</c:v>
                </c:pt>
                <c:pt idx="62">
                  <c:v>2.4831463801204278E-2</c:v>
                </c:pt>
                <c:pt idx="63">
                  <c:v>2.6373985401500693E-2</c:v>
                </c:pt>
                <c:pt idx="64">
                  <c:v>2.459207017541094E-2</c:v>
                </c:pt>
                <c:pt idx="65">
                  <c:v>2.6626873547617662E-2</c:v>
                </c:pt>
                <c:pt idx="66">
                  <c:v>2.5521467942117456E-2</c:v>
                </c:pt>
                <c:pt idx="67">
                  <c:v>2.6380438264281852E-2</c:v>
                </c:pt>
                <c:pt idx="68">
                  <c:v>2.3321530066811466E-2</c:v>
                </c:pt>
                <c:pt idx="69">
                  <c:v>2.7628087624757425E-2</c:v>
                </c:pt>
                <c:pt idx="70">
                  <c:v>2.4817830219611061E-2</c:v>
                </c:pt>
                <c:pt idx="71">
                  <c:v>2.5870674113821556E-2</c:v>
                </c:pt>
                <c:pt idx="72">
                  <c:v>2.4798533940164461E-2</c:v>
                </c:pt>
                <c:pt idx="73">
                  <c:v>2.6762264500855303E-2</c:v>
                </c:pt>
                <c:pt idx="74">
                  <c:v>2.6408265722689513E-2</c:v>
                </c:pt>
                <c:pt idx="75">
                  <c:v>2.4460510039923278E-2</c:v>
                </c:pt>
                <c:pt idx="76">
                  <c:v>2.6571867764481713E-2</c:v>
                </c:pt>
                <c:pt idx="77">
                  <c:v>2.6280562694931401E-2</c:v>
                </c:pt>
                <c:pt idx="78">
                  <c:v>2.6270913310586105E-2</c:v>
                </c:pt>
                <c:pt idx="79">
                  <c:v>2.2757892111837007E-2</c:v>
                </c:pt>
                <c:pt idx="80">
                  <c:v>2.4295607923012542E-2</c:v>
                </c:pt>
                <c:pt idx="81">
                  <c:v>2.6716322625988422E-2</c:v>
                </c:pt>
                <c:pt idx="82">
                  <c:v>2.7121110186505017E-2</c:v>
                </c:pt>
                <c:pt idx="83">
                  <c:v>2.3464990300799776E-2</c:v>
                </c:pt>
                <c:pt idx="84">
                  <c:v>2.4403823003799053E-2</c:v>
                </c:pt>
                <c:pt idx="85">
                  <c:v>2.6259199261404947E-2</c:v>
                </c:pt>
                <c:pt idx="86">
                  <c:v>2.5125179756301075E-2</c:v>
                </c:pt>
                <c:pt idx="87">
                  <c:v>2.7685309834832632E-2</c:v>
                </c:pt>
                <c:pt idx="88">
                  <c:v>2.5205278378261326E-2</c:v>
                </c:pt>
                <c:pt idx="89">
                  <c:v>2.5450171213815265E-2</c:v>
                </c:pt>
                <c:pt idx="90">
                  <c:v>2.4218558361183345E-2</c:v>
                </c:pt>
                <c:pt idx="91">
                  <c:v>2.4093742496848057E-2</c:v>
                </c:pt>
                <c:pt idx="92">
                  <c:v>2.3953474029041563E-2</c:v>
                </c:pt>
                <c:pt idx="93">
                  <c:v>2.5509724467957177E-2</c:v>
                </c:pt>
                <c:pt idx="94">
                  <c:v>2.3697631540373017E-2</c:v>
                </c:pt>
                <c:pt idx="95">
                  <c:v>2.488287801585095E-2</c:v>
                </c:pt>
                <c:pt idx="96">
                  <c:v>2.5340974468500199E-2</c:v>
                </c:pt>
                <c:pt idx="97">
                  <c:v>2.915340853375499E-2</c:v>
                </c:pt>
                <c:pt idx="98">
                  <c:v>2.4979364254029763E-2</c:v>
                </c:pt>
                <c:pt idx="99">
                  <c:v>2.5428366523700965E-2</c:v>
                </c:pt>
              </c:numCache>
            </c:numRef>
          </c:val>
        </c:ser>
        <c:ser>
          <c:idx val="4"/>
          <c:order val="4"/>
          <c:cat>
            <c:strRef>
              <c:f>'Interest Rate Simulation'!$A$115:$A$214</c:f>
              <c:strCache>
                <c:ptCount val="100"/>
                <c:pt idx="0">
                  <c:v>rt1</c:v>
                </c:pt>
                <c:pt idx="1">
                  <c:v>rt2</c:v>
                </c:pt>
                <c:pt idx="2">
                  <c:v>rt3</c:v>
                </c:pt>
                <c:pt idx="3">
                  <c:v>rt4</c:v>
                </c:pt>
                <c:pt idx="4">
                  <c:v>rt5</c:v>
                </c:pt>
                <c:pt idx="5">
                  <c:v>rt6</c:v>
                </c:pt>
                <c:pt idx="6">
                  <c:v>rt7</c:v>
                </c:pt>
                <c:pt idx="7">
                  <c:v>rt8</c:v>
                </c:pt>
                <c:pt idx="8">
                  <c:v>rt9</c:v>
                </c:pt>
                <c:pt idx="9">
                  <c:v>rt10</c:v>
                </c:pt>
                <c:pt idx="10">
                  <c:v>rt11</c:v>
                </c:pt>
                <c:pt idx="11">
                  <c:v>rt12</c:v>
                </c:pt>
                <c:pt idx="12">
                  <c:v>rt13</c:v>
                </c:pt>
                <c:pt idx="13">
                  <c:v>rt14</c:v>
                </c:pt>
                <c:pt idx="14">
                  <c:v>rt15</c:v>
                </c:pt>
                <c:pt idx="15">
                  <c:v>rt16</c:v>
                </c:pt>
                <c:pt idx="16">
                  <c:v>rt17</c:v>
                </c:pt>
                <c:pt idx="17">
                  <c:v>rt18</c:v>
                </c:pt>
                <c:pt idx="18">
                  <c:v>rt19</c:v>
                </c:pt>
                <c:pt idx="19">
                  <c:v>rt20</c:v>
                </c:pt>
                <c:pt idx="20">
                  <c:v>rt21</c:v>
                </c:pt>
                <c:pt idx="21">
                  <c:v>rt22</c:v>
                </c:pt>
                <c:pt idx="22">
                  <c:v>rt23</c:v>
                </c:pt>
                <c:pt idx="23">
                  <c:v>rt24</c:v>
                </c:pt>
                <c:pt idx="24">
                  <c:v>rt25</c:v>
                </c:pt>
                <c:pt idx="25">
                  <c:v>rt26</c:v>
                </c:pt>
                <c:pt idx="26">
                  <c:v>rt27</c:v>
                </c:pt>
                <c:pt idx="27">
                  <c:v>rt28</c:v>
                </c:pt>
                <c:pt idx="28">
                  <c:v>rt29</c:v>
                </c:pt>
                <c:pt idx="29">
                  <c:v>rt30</c:v>
                </c:pt>
                <c:pt idx="30">
                  <c:v>rt31</c:v>
                </c:pt>
                <c:pt idx="31">
                  <c:v>rt32</c:v>
                </c:pt>
                <c:pt idx="32">
                  <c:v>rt33</c:v>
                </c:pt>
                <c:pt idx="33">
                  <c:v>rt34</c:v>
                </c:pt>
                <c:pt idx="34">
                  <c:v>rt35</c:v>
                </c:pt>
                <c:pt idx="35">
                  <c:v>rt36</c:v>
                </c:pt>
                <c:pt idx="36">
                  <c:v>rt37</c:v>
                </c:pt>
                <c:pt idx="37">
                  <c:v>rt38</c:v>
                </c:pt>
                <c:pt idx="38">
                  <c:v>rt39</c:v>
                </c:pt>
                <c:pt idx="39">
                  <c:v>rt40</c:v>
                </c:pt>
                <c:pt idx="40">
                  <c:v>rt41</c:v>
                </c:pt>
                <c:pt idx="41">
                  <c:v>rt42</c:v>
                </c:pt>
                <c:pt idx="42">
                  <c:v>rt43</c:v>
                </c:pt>
                <c:pt idx="43">
                  <c:v>rt44</c:v>
                </c:pt>
                <c:pt idx="44">
                  <c:v>rt45</c:v>
                </c:pt>
                <c:pt idx="45">
                  <c:v>rt46</c:v>
                </c:pt>
                <c:pt idx="46">
                  <c:v>rt47</c:v>
                </c:pt>
                <c:pt idx="47">
                  <c:v>rt48</c:v>
                </c:pt>
                <c:pt idx="48">
                  <c:v>rt49</c:v>
                </c:pt>
                <c:pt idx="49">
                  <c:v>rt50</c:v>
                </c:pt>
                <c:pt idx="50">
                  <c:v>rt51</c:v>
                </c:pt>
                <c:pt idx="51">
                  <c:v>rt52</c:v>
                </c:pt>
                <c:pt idx="52">
                  <c:v>rt53</c:v>
                </c:pt>
                <c:pt idx="53">
                  <c:v>rt54</c:v>
                </c:pt>
                <c:pt idx="54">
                  <c:v>rt55</c:v>
                </c:pt>
                <c:pt idx="55">
                  <c:v>rt56</c:v>
                </c:pt>
                <c:pt idx="56">
                  <c:v>rt57</c:v>
                </c:pt>
                <c:pt idx="57">
                  <c:v>rt58</c:v>
                </c:pt>
                <c:pt idx="58">
                  <c:v>rt59</c:v>
                </c:pt>
                <c:pt idx="59">
                  <c:v>rt60</c:v>
                </c:pt>
                <c:pt idx="60">
                  <c:v>rt61</c:v>
                </c:pt>
                <c:pt idx="61">
                  <c:v>rt62</c:v>
                </c:pt>
                <c:pt idx="62">
                  <c:v>rt63</c:v>
                </c:pt>
                <c:pt idx="63">
                  <c:v>rt64</c:v>
                </c:pt>
                <c:pt idx="64">
                  <c:v>rt65</c:v>
                </c:pt>
                <c:pt idx="65">
                  <c:v>rt66</c:v>
                </c:pt>
                <c:pt idx="66">
                  <c:v>rt67</c:v>
                </c:pt>
                <c:pt idx="67">
                  <c:v>rt68</c:v>
                </c:pt>
                <c:pt idx="68">
                  <c:v>rt69</c:v>
                </c:pt>
                <c:pt idx="69">
                  <c:v>rt70</c:v>
                </c:pt>
                <c:pt idx="70">
                  <c:v>rt71</c:v>
                </c:pt>
                <c:pt idx="71">
                  <c:v>rt72</c:v>
                </c:pt>
                <c:pt idx="72">
                  <c:v>rt73</c:v>
                </c:pt>
                <c:pt idx="73">
                  <c:v>rt74</c:v>
                </c:pt>
                <c:pt idx="74">
                  <c:v>rt75</c:v>
                </c:pt>
                <c:pt idx="75">
                  <c:v>rt76</c:v>
                </c:pt>
                <c:pt idx="76">
                  <c:v>rt77</c:v>
                </c:pt>
                <c:pt idx="77">
                  <c:v>rt78</c:v>
                </c:pt>
                <c:pt idx="78">
                  <c:v>rt79</c:v>
                </c:pt>
                <c:pt idx="79">
                  <c:v>rt80</c:v>
                </c:pt>
                <c:pt idx="80">
                  <c:v>rt81</c:v>
                </c:pt>
                <c:pt idx="81">
                  <c:v>rt82</c:v>
                </c:pt>
                <c:pt idx="82">
                  <c:v>rt83</c:v>
                </c:pt>
                <c:pt idx="83">
                  <c:v>rt84</c:v>
                </c:pt>
                <c:pt idx="84">
                  <c:v>rt85</c:v>
                </c:pt>
                <c:pt idx="85">
                  <c:v>rt86</c:v>
                </c:pt>
                <c:pt idx="86">
                  <c:v>rt87</c:v>
                </c:pt>
                <c:pt idx="87">
                  <c:v>rt88</c:v>
                </c:pt>
                <c:pt idx="88">
                  <c:v>rt89</c:v>
                </c:pt>
                <c:pt idx="89">
                  <c:v>rt90</c:v>
                </c:pt>
                <c:pt idx="90">
                  <c:v>rt91</c:v>
                </c:pt>
                <c:pt idx="91">
                  <c:v>rt92</c:v>
                </c:pt>
                <c:pt idx="92">
                  <c:v>rt93</c:v>
                </c:pt>
                <c:pt idx="93">
                  <c:v>rt94</c:v>
                </c:pt>
                <c:pt idx="94">
                  <c:v>rt95</c:v>
                </c:pt>
                <c:pt idx="95">
                  <c:v>rt96</c:v>
                </c:pt>
                <c:pt idx="96">
                  <c:v>rt97</c:v>
                </c:pt>
                <c:pt idx="97">
                  <c:v>rt98</c:v>
                </c:pt>
                <c:pt idx="98">
                  <c:v>rt99</c:v>
                </c:pt>
                <c:pt idx="99">
                  <c:v>rt100</c:v>
                </c:pt>
              </c:strCache>
            </c:strRef>
          </c:cat>
          <c:val>
            <c:numRef>
              <c:f>'Interest Rate Simulation'!$F$115:$F$214</c:f>
              <c:numCache>
                <c:formatCode>0.00%</c:formatCode>
                <c:ptCount val="100"/>
                <c:pt idx="0">
                  <c:v>2.4407238448894142E-2</c:v>
                </c:pt>
                <c:pt idx="1">
                  <c:v>2.4060246107646385E-2</c:v>
                </c:pt>
                <c:pt idx="2">
                  <c:v>2.3121566906003956E-2</c:v>
                </c:pt>
                <c:pt idx="3">
                  <c:v>2.6805460077535963E-2</c:v>
                </c:pt>
                <c:pt idx="4">
                  <c:v>2.6726334837991673E-2</c:v>
                </c:pt>
                <c:pt idx="5">
                  <c:v>2.42077405014186E-2</c:v>
                </c:pt>
                <c:pt idx="6">
                  <c:v>2.3595564937643327E-2</c:v>
                </c:pt>
                <c:pt idx="7">
                  <c:v>2.3263224839393245E-2</c:v>
                </c:pt>
                <c:pt idx="8">
                  <c:v>2.4486431751241801E-2</c:v>
                </c:pt>
                <c:pt idx="9">
                  <c:v>2.4904907066909298E-2</c:v>
                </c:pt>
                <c:pt idx="10">
                  <c:v>2.6093401902012328E-2</c:v>
                </c:pt>
                <c:pt idx="11">
                  <c:v>2.5272533055796985E-2</c:v>
                </c:pt>
                <c:pt idx="12">
                  <c:v>2.5654663424980254E-2</c:v>
                </c:pt>
                <c:pt idx="13">
                  <c:v>2.5819310864423371E-2</c:v>
                </c:pt>
                <c:pt idx="14">
                  <c:v>2.7955364066550005E-2</c:v>
                </c:pt>
                <c:pt idx="15">
                  <c:v>2.4813119519836863E-2</c:v>
                </c:pt>
                <c:pt idx="16">
                  <c:v>2.5164205542537846E-2</c:v>
                </c:pt>
                <c:pt idx="17">
                  <c:v>2.5398540070959499E-2</c:v>
                </c:pt>
                <c:pt idx="18">
                  <c:v>2.5277897108662593E-2</c:v>
                </c:pt>
                <c:pt idx="19">
                  <c:v>2.346398134507786E-2</c:v>
                </c:pt>
                <c:pt idx="20">
                  <c:v>2.4968021291936274E-2</c:v>
                </c:pt>
                <c:pt idx="21">
                  <c:v>2.5102979643418115E-2</c:v>
                </c:pt>
                <c:pt idx="22">
                  <c:v>2.8054390517718322E-2</c:v>
                </c:pt>
                <c:pt idx="23">
                  <c:v>2.4382482687955929E-2</c:v>
                </c:pt>
                <c:pt idx="24">
                  <c:v>2.5268377983490919E-2</c:v>
                </c:pt>
                <c:pt idx="25">
                  <c:v>2.5431001857155588E-2</c:v>
                </c:pt>
                <c:pt idx="26">
                  <c:v>2.7282519984106662E-2</c:v>
                </c:pt>
                <c:pt idx="27">
                  <c:v>2.6343270932013801E-2</c:v>
                </c:pt>
                <c:pt idx="28">
                  <c:v>2.3208971682908509E-2</c:v>
                </c:pt>
                <c:pt idx="29">
                  <c:v>2.5920166552964734E-2</c:v>
                </c:pt>
                <c:pt idx="30">
                  <c:v>2.6825942637114762E-2</c:v>
                </c:pt>
                <c:pt idx="31">
                  <c:v>2.504425166437357E-2</c:v>
                </c:pt>
                <c:pt idx="32">
                  <c:v>2.4036913057717296E-2</c:v>
                </c:pt>
                <c:pt idx="33">
                  <c:v>2.5096829683185436E-2</c:v>
                </c:pt>
                <c:pt idx="34">
                  <c:v>2.2973535141990319E-2</c:v>
                </c:pt>
                <c:pt idx="35">
                  <c:v>2.2745391201280919E-2</c:v>
                </c:pt>
                <c:pt idx="36">
                  <c:v>2.4373881870414921E-2</c:v>
                </c:pt>
                <c:pt idx="37">
                  <c:v>2.2762263321582179E-2</c:v>
                </c:pt>
                <c:pt idx="38">
                  <c:v>2.6823962901191285E-2</c:v>
                </c:pt>
                <c:pt idx="39">
                  <c:v>2.6978031872457505E-2</c:v>
                </c:pt>
                <c:pt idx="40">
                  <c:v>2.5516365151422072E-2</c:v>
                </c:pt>
                <c:pt idx="41">
                  <c:v>2.4234371521021317E-2</c:v>
                </c:pt>
                <c:pt idx="42">
                  <c:v>2.3708326630041892E-2</c:v>
                </c:pt>
                <c:pt idx="43">
                  <c:v>2.6484799776341099E-2</c:v>
                </c:pt>
                <c:pt idx="44">
                  <c:v>2.5793982256926043E-2</c:v>
                </c:pt>
                <c:pt idx="45">
                  <c:v>2.4409462773053003E-2</c:v>
                </c:pt>
                <c:pt idx="46">
                  <c:v>2.5741201891341017E-2</c:v>
                </c:pt>
                <c:pt idx="47">
                  <c:v>2.8100573879420204E-2</c:v>
                </c:pt>
                <c:pt idx="48">
                  <c:v>2.2583656684588321E-2</c:v>
                </c:pt>
                <c:pt idx="49">
                  <c:v>2.6349458733737986E-2</c:v>
                </c:pt>
                <c:pt idx="50">
                  <c:v>2.5407063583201876E-2</c:v>
                </c:pt>
                <c:pt idx="51">
                  <c:v>2.7205464380259715E-2</c:v>
                </c:pt>
                <c:pt idx="52">
                  <c:v>2.704144115412041E-2</c:v>
                </c:pt>
                <c:pt idx="53">
                  <c:v>2.3922537090150586E-2</c:v>
                </c:pt>
                <c:pt idx="54">
                  <c:v>2.3540059199136851E-2</c:v>
                </c:pt>
                <c:pt idx="55">
                  <c:v>2.3621601251966232E-2</c:v>
                </c:pt>
                <c:pt idx="56">
                  <c:v>2.6108389959656083E-2</c:v>
                </c:pt>
                <c:pt idx="57">
                  <c:v>2.2954302096474064E-2</c:v>
                </c:pt>
                <c:pt idx="58">
                  <c:v>2.4715376539809309E-2</c:v>
                </c:pt>
                <c:pt idx="59">
                  <c:v>2.3174844243117353E-2</c:v>
                </c:pt>
                <c:pt idx="60">
                  <c:v>2.3731748139662553E-2</c:v>
                </c:pt>
                <c:pt idx="61">
                  <c:v>2.8521760074316387E-2</c:v>
                </c:pt>
                <c:pt idx="62">
                  <c:v>2.5736027053722306E-2</c:v>
                </c:pt>
                <c:pt idx="63">
                  <c:v>2.6500979206056426E-2</c:v>
                </c:pt>
                <c:pt idx="64">
                  <c:v>2.4981138244428828E-2</c:v>
                </c:pt>
                <c:pt idx="65">
                  <c:v>2.6144734006044668E-2</c:v>
                </c:pt>
                <c:pt idx="66">
                  <c:v>2.6023866742297709E-2</c:v>
                </c:pt>
                <c:pt idx="67">
                  <c:v>2.5670782747511771E-2</c:v>
                </c:pt>
                <c:pt idx="68">
                  <c:v>2.348933241152594E-2</c:v>
                </c:pt>
                <c:pt idx="69">
                  <c:v>2.8131297032144946E-2</c:v>
                </c:pt>
                <c:pt idx="70">
                  <c:v>2.5198991148739434E-2</c:v>
                </c:pt>
                <c:pt idx="71">
                  <c:v>2.5683338566430278E-2</c:v>
                </c:pt>
                <c:pt idx="72">
                  <c:v>2.4840518105007144E-2</c:v>
                </c:pt>
                <c:pt idx="73">
                  <c:v>2.61013459405319E-2</c:v>
                </c:pt>
                <c:pt idx="74">
                  <c:v>2.6027103338805879E-2</c:v>
                </c:pt>
                <c:pt idx="75">
                  <c:v>2.4149208766150839E-2</c:v>
                </c:pt>
                <c:pt idx="76">
                  <c:v>2.5787989973979471E-2</c:v>
                </c:pt>
                <c:pt idx="77">
                  <c:v>2.6702946244217859E-2</c:v>
                </c:pt>
                <c:pt idx="78">
                  <c:v>2.5563977017076318E-2</c:v>
                </c:pt>
                <c:pt idx="79">
                  <c:v>2.3183088858869175E-2</c:v>
                </c:pt>
                <c:pt idx="80">
                  <c:v>2.4943335772814143E-2</c:v>
                </c:pt>
                <c:pt idx="81">
                  <c:v>2.5761551306373705E-2</c:v>
                </c:pt>
                <c:pt idx="82">
                  <c:v>2.7496874322622308E-2</c:v>
                </c:pt>
                <c:pt idx="83">
                  <c:v>2.2186630253792246E-2</c:v>
                </c:pt>
                <c:pt idx="84">
                  <c:v>2.3006928167528622E-2</c:v>
                </c:pt>
                <c:pt idx="85">
                  <c:v>2.5535073946711402E-2</c:v>
                </c:pt>
                <c:pt idx="86">
                  <c:v>2.524903266677845E-2</c:v>
                </c:pt>
                <c:pt idx="87">
                  <c:v>2.7509020496611945E-2</c:v>
                </c:pt>
                <c:pt idx="88">
                  <c:v>2.5476764629126979E-2</c:v>
                </c:pt>
                <c:pt idx="89">
                  <c:v>2.3816318053797789E-2</c:v>
                </c:pt>
                <c:pt idx="90">
                  <c:v>2.3797226546619598E-2</c:v>
                </c:pt>
                <c:pt idx="91">
                  <c:v>2.2580463152615016E-2</c:v>
                </c:pt>
                <c:pt idx="92">
                  <c:v>2.38177302825388E-2</c:v>
                </c:pt>
                <c:pt idx="93">
                  <c:v>2.5632807918351798E-2</c:v>
                </c:pt>
                <c:pt idx="94">
                  <c:v>2.3111734422725683E-2</c:v>
                </c:pt>
                <c:pt idx="95">
                  <c:v>2.4770347518838578E-2</c:v>
                </c:pt>
                <c:pt idx="96">
                  <c:v>2.5593033602184134E-2</c:v>
                </c:pt>
                <c:pt idx="97">
                  <c:v>2.8545480401370015E-2</c:v>
                </c:pt>
                <c:pt idx="98">
                  <c:v>2.5584386441286869E-2</c:v>
                </c:pt>
                <c:pt idx="99">
                  <c:v>2.5023107606232307E-2</c:v>
                </c:pt>
              </c:numCache>
            </c:numRef>
          </c:val>
        </c:ser>
        <c:ser>
          <c:idx val="5"/>
          <c:order val="5"/>
          <c:cat>
            <c:strRef>
              <c:f>'Interest Rate Simulation'!$A$115:$A$214</c:f>
              <c:strCache>
                <c:ptCount val="100"/>
                <c:pt idx="0">
                  <c:v>rt1</c:v>
                </c:pt>
                <c:pt idx="1">
                  <c:v>rt2</c:v>
                </c:pt>
                <c:pt idx="2">
                  <c:v>rt3</c:v>
                </c:pt>
                <c:pt idx="3">
                  <c:v>rt4</c:v>
                </c:pt>
                <c:pt idx="4">
                  <c:v>rt5</c:v>
                </c:pt>
                <c:pt idx="5">
                  <c:v>rt6</c:v>
                </c:pt>
                <c:pt idx="6">
                  <c:v>rt7</c:v>
                </c:pt>
                <c:pt idx="7">
                  <c:v>rt8</c:v>
                </c:pt>
                <c:pt idx="8">
                  <c:v>rt9</c:v>
                </c:pt>
                <c:pt idx="9">
                  <c:v>rt10</c:v>
                </c:pt>
                <c:pt idx="10">
                  <c:v>rt11</c:v>
                </c:pt>
                <c:pt idx="11">
                  <c:v>rt12</c:v>
                </c:pt>
                <c:pt idx="12">
                  <c:v>rt13</c:v>
                </c:pt>
                <c:pt idx="13">
                  <c:v>rt14</c:v>
                </c:pt>
                <c:pt idx="14">
                  <c:v>rt15</c:v>
                </c:pt>
                <c:pt idx="15">
                  <c:v>rt16</c:v>
                </c:pt>
                <c:pt idx="16">
                  <c:v>rt17</c:v>
                </c:pt>
                <c:pt idx="17">
                  <c:v>rt18</c:v>
                </c:pt>
                <c:pt idx="18">
                  <c:v>rt19</c:v>
                </c:pt>
                <c:pt idx="19">
                  <c:v>rt20</c:v>
                </c:pt>
                <c:pt idx="20">
                  <c:v>rt21</c:v>
                </c:pt>
                <c:pt idx="21">
                  <c:v>rt22</c:v>
                </c:pt>
                <c:pt idx="22">
                  <c:v>rt23</c:v>
                </c:pt>
                <c:pt idx="23">
                  <c:v>rt24</c:v>
                </c:pt>
                <c:pt idx="24">
                  <c:v>rt25</c:v>
                </c:pt>
                <c:pt idx="25">
                  <c:v>rt26</c:v>
                </c:pt>
                <c:pt idx="26">
                  <c:v>rt27</c:v>
                </c:pt>
                <c:pt idx="27">
                  <c:v>rt28</c:v>
                </c:pt>
                <c:pt idx="28">
                  <c:v>rt29</c:v>
                </c:pt>
                <c:pt idx="29">
                  <c:v>rt30</c:v>
                </c:pt>
                <c:pt idx="30">
                  <c:v>rt31</c:v>
                </c:pt>
                <c:pt idx="31">
                  <c:v>rt32</c:v>
                </c:pt>
                <c:pt idx="32">
                  <c:v>rt33</c:v>
                </c:pt>
                <c:pt idx="33">
                  <c:v>rt34</c:v>
                </c:pt>
                <c:pt idx="34">
                  <c:v>rt35</c:v>
                </c:pt>
                <c:pt idx="35">
                  <c:v>rt36</c:v>
                </c:pt>
                <c:pt idx="36">
                  <c:v>rt37</c:v>
                </c:pt>
                <c:pt idx="37">
                  <c:v>rt38</c:v>
                </c:pt>
                <c:pt idx="38">
                  <c:v>rt39</c:v>
                </c:pt>
                <c:pt idx="39">
                  <c:v>rt40</c:v>
                </c:pt>
                <c:pt idx="40">
                  <c:v>rt41</c:v>
                </c:pt>
                <c:pt idx="41">
                  <c:v>rt42</c:v>
                </c:pt>
                <c:pt idx="42">
                  <c:v>rt43</c:v>
                </c:pt>
                <c:pt idx="43">
                  <c:v>rt44</c:v>
                </c:pt>
                <c:pt idx="44">
                  <c:v>rt45</c:v>
                </c:pt>
                <c:pt idx="45">
                  <c:v>rt46</c:v>
                </c:pt>
                <c:pt idx="46">
                  <c:v>rt47</c:v>
                </c:pt>
                <c:pt idx="47">
                  <c:v>rt48</c:v>
                </c:pt>
                <c:pt idx="48">
                  <c:v>rt49</c:v>
                </c:pt>
                <c:pt idx="49">
                  <c:v>rt50</c:v>
                </c:pt>
                <c:pt idx="50">
                  <c:v>rt51</c:v>
                </c:pt>
                <c:pt idx="51">
                  <c:v>rt52</c:v>
                </c:pt>
                <c:pt idx="52">
                  <c:v>rt53</c:v>
                </c:pt>
                <c:pt idx="53">
                  <c:v>rt54</c:v>
                </c:pt>
                <c:pt idx="54">
                  <c:v>rt55</c:v>
                </c:pt>
                <c:pt idx="55">
                  <c:v>rt56</c:v>
                </c:pt>
                <c:pt idx="56">
                  <c:v>rt57</c:v>
                </c:pt>
                <c:pt idx="57">
                  <c:v>rt58</c:v>
                </c:pt>
                <c:pt idx="58">
                  <c:v>rt59</c:v>
                </c:pt>
                <c:pt idx="59">
                  <c:v>rt60</c:v>
                </c:pt>
                <c:pt idx="60">
                  <c:v>rt61</c:v>
                </c:pt>
                <c:pt idx="61">
                  <c:v>rt62</c:v>
                </c:pt>
                <c:pt idx="62">
                  <c:v>rt63</c:v>
                </c:pt>
                <c:pt idx="63">
                  <c:v>rt64</c:v>
                </c:pt>
                <c:pt idx="64">
                  <c:v>rt65</c:v>
                </c:pt>
                <c:pt idx="65">
                  <c:v>rt66</c:v>
                </c:pt>
                <c:pt idx="66">
                  <c:v>rt67</c:v>
                </c:pt>
                <c:pt idx="67">
                  <c:v>rt68</c:v>
                </c:pt>
                <c:pt idx="68">
                  <c:v>rt69</c:v>
                </c:pt>
                <c:pt idx="69">
                  <c:v>rt70</c:v>
                </c:pt>
                <c:pt idx="70">
                  <c:v>rt71</c:v>
                </c:pt>
                <c:pt idx="71">
                  <c:v>rt72</c:v>
                </c:pt>
                <c:pt idx="72">
                  <c:v>rt73</c:v>
                </c:pt>
                <c:pt idx="73">
                  <c:v>rt74</c:v>
                </c:pt>
                <c:pt idx="74">
                  <c:v>rt75</c:v>
                </c:pt>
                <c:pt idx="75">
                  <c:v>rt76</c:v>
                </c:pt>
                <c:pt idx="76">
                  <c:v>rt77</c:v>
                </c:pt>
                <c:pt idx="77">
                  <c:v>rt78</c:v>
                </c:pt>
                <c:pt idx="78">
                  <c:v>rt79</c:v>
                </c:pt>
                <c:pt idx="79">
                  <c:v>rt80</c:v>
                </c:pt>
                <c:pt idx="80">
                  <c:v>rt81</c:v>
                </c:pt>
                <c:pt idx="81">
                  <c:v>rt82</c:v>
                </c:pt>
                <c:pt idx="82">
                  <c:v>rt83</c:v>
                </c:pt>
                <c:pt idx="83">
                  <c:v>rt84</c:v>
                </c:pt>
                <c:pt idx="84">
                  <c:v>rt85</c:v>
                </c:pt>
                <c:pt idx="85">
                  <c:v>rt86</c:v>
                </c:pt>
                <c:pt idx="86">
                  <c:v>rt87</c:v>
                </c:pt>
                <c:pt idx="87">
                  <c:v>rt88</c:v>
                </c:pt>
                <c:pt idx="88">
                  <c:v>rt89</c:v>
                </c:pt>
                <c:pt idx="89">
                  <c:v>rt90</c:v>
                </c:pt>
                <c:pt idx="90">
                  <c:v>rt91</c:v>
                </c:pt>
                <c:pt idx="91">
                  <c:v>rt92</c:v>
                </c:pt>
                <c:pt idx="92">
                  <c:v>rt93</c:v>
                </c:pt>
                <c:pt idx="93">
                  <c:v>rt94</c:v>
                </c:pt>
                <c:pt idx="94">
                  <c:v>rt95</c:v>
                </c:pt>
                <c:pt idx="95">
                  <c:v>rt96</c:v>
                </c:pt>
                <c:pt idx="96">
                  <c:v>rt97</c:v>
                </c:pt>
                <c:pt idx="97">
                  <c:v>rt98</c:v>
                </c:pt>
                <c:pt idx="98">
                  <c:v>rt99</c:v>
                </c:pt>
                <c:pt idx="99">
                  <c:v>rt100</c:v>
                </c:pt>
              </c:strCache>
            </c:strRef>
          </c:cat>
          <c:val>
            <c:numRef>
              <c:f>'Interest Rate Simulation'!$G$115:$G$214</c:f>
              <c:numCache>
                <c:formatCode>0.00%</c:formatCode>
                <c:ptCount val="100"/>
                <c:pt idx="0">
                  <c:v>2.4545250360863264E-2</c:v>
                </c:pt>
                <c:pt idx="1">
                  <c:v>2.5576205506066176E-2</c:v>
                </c:pt>
                <c:pt idx="2">
                  <c:v>2.2836008693117818E-2</c:v>
                </c:pt>
                <c:pt idx="3">
                  <c:v>2.7283257040326966E-2</c:v>
                </c:pt>
                <c:pt idx="4">
                  <c:v>2.6179049899084088E-2</c:v>
                </c:pt>
                <c:pt idx="5">
                  <c:v>2.4085742673735797E-2</c:v>
                </c:pt>
                <c:pt idx="6">
                  <c:v>2.3600171379725362E-2</c:v>
                </c:pt>
                <c:pt idx="7">
                  <c:v>2.3233890384293198E-2</c:v>
                </c:pt>
                <c:pt idx="8">
                  <c:v>2.3752233327074147E-2</c:v>
                </c:pt>
                <c:pt idx="9">
                  <c:v>2.4778747906568567E-2</c:v>
                </c:pt>
                <c:pt idx="10">
                  <c:v>2.6924449674026119E-2</c:v>
                </c:pt>
                <c:pt idx="11">
                  <c:v>2.5352963982186828E-2</c:v>
                </c:pt>
                <c:pt idx="12">
                  <c:v>2.6940736081545499E-2</c:v>
                </c:pt>
                <c:pt idx="13">
                  <c:v>2.4778519540244223E-2</c:v>
                </c:pt>
                <c:pt idx="14">
                  <c:v>2.747666654142138E-2</c:v>
                </c:pt>
                <c:pt idx="15">
                  <c:v>2.4865916464384998E-2</c:v>
                </c:pt>
                <c:pt idx="16">
                  <c:v>2.4351800716698811E-2</c:v>
                </c:pt>
                <c:pt idx="17">
                  <c:v>2.6272650747397364E-2</c:v>
                </c:pt>
                <c:pt idx="18">
                  <c:v>2.4423154782691629E-2</c:v>
                </c:pt>
                <c:pt idx="19">
                  <c:v>2.3162907229023016E-2</c:v>
                </c:pt>
                <c:pt idx="20">
                  <c:v>2.5539354152323404E-2</c:v>
                </c:pt>
                <c:pt idx="21">
                  <c:v>2.6192002680325253E-2</c:v>
                </c:pt>
                <c:pt idx="22">
                  <c:v>2.8283356016440265E-2</c:v>
                </c:pt>
                <c:pt idx="23">
                  <c:v>2.3352006951286149E-2</c:v>
                </c:pt>
                <c:pt idx="24">
                  <c:v>2.4648136564673517E-2</c:v>
                </c:pt>
                <c:pt idx="25">
                  <c:v>2.5003902773263944E-2</c:v>
                </c:pt>
                <c:pt idx="26">
                  <c:v>2.7877105846382966E-2</c:v>
                </c:pt>
                <c:pt idx="27">
                  <c:v>2.7967775768477105E-2</c:v>
                </c:pt>
                <c:pt idx="28">
                  <c:v>2.3107808536269755E-2</c:v>
                </c:pt>
                <c:pt idx="29">
                  <c:v>2.6040795574813473E-2</c:v>
                </c:pt>
                <c:pt idx="30">
                  <c:v>2.6251878257747774E-2</c:v>
                </c:pt>
                <c:pt idx="31">
                  <c:v>2.4277093081710516E-2</c:v>
                </c:pt>
                <c:pt idx="32">
                  <c:v>2.3722487603950196E-2</c:v>
                </c:pt>
                <c:pt idx="33">
                  <c:v>2.5551533109095678E-2</c:v>
                </c:pt>
                <c:pt idx="34">
                  <c:v>2.3110794883176036E-2</c:v>
                </c:pt>
                <c:pt idx="35">
                  <c:v>2.3318909300016528E-2</c:v>
                </c:pt>
                <c:pt idx="36">
                  <c:v>2.4594472141979368E-2</c:v>
                </c:pt>
                <c:pt idx="37">
                  <c:v>2.2287552897130979E-2</c:v>
                </c:pt>
                <c:pt idx="38">
                  <c:v>2.6530341837101023E-2</c:v>
                </c:pt>
                <c:pt idx="39">
                  <c:v>2.7070315479232946E-2</c:v>
                </c:pt>
                <c:pt idx="40">
                  <c:v>2.5376153718046138E-2</c:v>
                </c:pt>
                <c:pt idx="41">
                  <c:v>2.4245668864851255E-2</c:v>
                </c:pt>
                <c:pt idx="42">
                  <c:v>2.6589732742036996E-2</c:v>
                </c:pt>
                <c:pt idx="43">
                  <c:v>2.5705728298135874E-2</c:v>
                </c:pt>
                <c:pt idx="44">
                  <c:v>2.6726057569143962E-2</c:v>
                </c:pt>
                <c:pt idx="45">
                  <c:v>2.4691948118657478E-2</c:v>
                </c:pt>
                <c:pt idx="46">
                  <c:v>2.6064138070308097E-2</c:v>
                </c:pt>
                <c:pt idx="47">
                  <c:v>2.895215190175153E-2</c:v>
                </c:pt>
                <c:pt idx="48">
                  <c:v>2.1283560003858344E-2</c:v>
                </c:pt>
                <c:pt idx="49">
                  <c:v>2.6367509613525329E-2</c:v>
                </c:pt>
                <c:pt idx="50">
                  <c:v>2.5142887309738866E-2</c:v>
                </c:pt>
                <c:pt idx="51">
                  <c:v>2.7563295199710236E-2</c:v>
                </c:pt>
                <c:pt idx="52">
                  <c:v>2.7721434423902021E-2</c:v>
                </c:pt>
                <c:pt idx="53">
                  <c:v>2.2924927301370319E-2</c:v>
                </c:pt>
                <c:pt idx="54">
                  <c:v>2.3637796436667736E-2</c:v>
                </c:pt>
                <c:pt idx="55">
                  <c:v>2.3468692433842957E-2</c:v>
                </c:pt>
                <c:pt idx="56">
                  <c:v>2.6504744131609807E-2</c:v>
                </c:pt>
                <c:pt idx="57">
                  <c:v>2.2413556984880033E-2</c:v>
                </c:pt>
                <c:pt idx="58">
                  <c:v>2.4745422967038938E-2</c:v>
                </c:pt>
                <c:pt idx="59">
                  <c:v>2.3858295074536396E-2</c:v>
                </c:pt>
                <c:pt idx="60">
                  <c:v>2.302935078167042E-2</c:v>
                </c:pt>
                <c:pt idx="61">
                  <c:v>2.8313418467081304E-2</c:v>
                </c:pt>
                <c:pt idx="62">
                  <c:v>2.4651259218924394E-2</c:v>
                </c:pt>
                <c:pt idx="63">
                  <c:v>2.6722589469931043E-2</c:v>
                </c:pt>
                <c:pt idx="64">
                  <c:v>2.5418031662633442E-2</c:v>
                </c:pt>
                <c:pt idx="65">
                  <c:v>2.6111928544483045E-2</c:v>
                </c:pt>
                <c:pt idx="66">
                  <c:v>2.4858738267348066E-2</c:v>
                </c:pt>
                <c:pt idx="67">
                  <c:v>2.5892572362789419E-2</c:v>
                </c:pt>
                <c:pt idx="68">
                  <c:v>2.2545414437173981E-2</c:v>
                </c:pt>
                <c:pt idx="69">
                  <c:v>2.9169292428942912E-2</c:v>
                </c:pt>
                <c:pt idx="70">
                  <c:v>2.608826400634234E-2</c:v>
                </c:pt>
                <c:pt idx="71">
                  <c:v>2.5344932452228668E-2</c:v>
                </c:pt>
                <c:pt idx="72">
                  <c:v>2.3644646762564319E-2</c:v>
                </c:pt>
                <c:pt idx="73">
                  <c:v>2.7397354606290843E-2</c:v>
                </c:pt>
                <c:pt idx="74">
                  <c:v>2.7291060760724507E-2</c:v>
                </c:pt>
                <c:pt idx="75">
                  <c:v>2.5362775901986909E-2</c:v>
                </c:pt>
                <c:pt idx="76">
                  <c:v>2.5930911531926427E-2</c:v>
                </c:pt>
                <c:pt idx="77">
                  <c:v>2.6698582460210604E-2</c:v>
                </c:pt>
                <c:pt idx="78">
                  <c:v>2.4839785821790399E-2</c:v>
                </c:pt>
                <c:pt idx="79">
                  <c:v>2.3278430282526023E-2</c:v>
                </c:pt>
                <c:pt idx="80">
                  <c:v>2.4537971149058955E-2</c:v>
                </c:pt>
                <c:pt idx="81">
                  <c:v>2.5503783013473228E-2</c:v>
                </c:pt>
                <c:pt idx="82">
                  <c:v>2.5599909335438369E-2</c:v>
                </c:pt>
                <c:pt idx="83">
                  <c:v>2.2663576449454589E-2</c:v>
                </c:pt>
                <c:pt idx="84">
                  <c:v>2.2487398466339431E-2</c:v>
                </c:pt>
                <c:pt idx="85">
                  <c:v>2.6084668076971098E-2</c:v>
                </c:pt>
                <c:pt idx="86">
                  <c:v>2.4276728762238596E-2</c:v>
                </c:pt>
                <c:pt idx="87">
                  <c:v>2.6370042108409132E-2</c:v>
                </c:pt>
                <c:pt idx="88">
                  <c:v>2.5395136154528944E-2</c:v>
                </c:pt>
                <c:pt idx="89">
                  <c:v>2.3494006606005736E-2</c:v>
                </c:pt>
                <c:pt idx="90">
                  <c:v>2.3779509978845929E-2</c:v>
                </c:pt>
                <c:pt idx="91">
                  <c:v>2.279402823684713E-2</c:v>
                </c:pt>
                <c:pt idx="92">
                  <c:v>2.3589793300949638E-2</c:v>
                </c:pt>
                <c:pt idx="93">
                  <c:v>2.6074714351087293E-2</c:v>
                </c:pt>
                <c:pt idx="94">
                  <c:v>2.2686985705153956E-2</c:v>
                </c:pt>
                <c:pt idx="95">
                  <c:v>2.5013431293930306E-2</c:v>
                </c:pt>
                <c:pt idx="96">
                  <c:v>2.5939226694558695E-2</c:v>
                </c:pt>
                <c:pt idx="97">
                  <c:v>2.9018694286619011E-2</c:v>
                </c:pt>
                <c:pt idx="98">
                  <c:v>2.4112440673014258E-2</c:v>
                </c:pt>
                <c:pt idx="99">
                  <c:v>2.6206263043877107E-2</c:v>
                </c:pt>
              </c:numCache>
            </c:numRef>
          </c:val>
        </c:ser>
        <c:ser>
          <c:idx val="6"/>
          <c:order val="6"/>
          <c:cat>
            <c:strRef>
              <c:f>'Interest Rate Simulation'!$A$115:$A$214</c:f>
              <c:strCache>
                <c:ptCount val="100"/>
                <c:pt idx="0">
                  <c:v>rt1</c:v>
                </c:pt>
                <c:pt idx="1">
                  <c:v>rt2</c:v>
                </c:pt>
                <c:pt idx="2">
                  <c:v>rt3</c:v>
                </c:pt>
                <c:pt idx="3">
                  <c:v>rt4</c:v>
                </c:pt>
                <c:pt idx="4">
                  <c:v>rt5</c:v>
                </c:pt>
                <c:pt idx="5">
                  <c:v>rt6</c:v>
                </c:pt>
                <c:pt idx="6">
                  <c:v>rt7</c:v>
                </c:pt>
                <c:pt idx="7">
                  <c:v>rt8</c:v>
                </c:pt>
                <c:pt idx="8">
                  <c:v>rt9</c:v>
                </c:pt>
                <c:pt idx="9">
                  <c:v>rt10</c:v>
                </c:pt>
                <c:pt idx="10">
                  <c:v>rt11</c:v>
                </c:pt>
                <c:pt idx="11">
                  <c:v>rt12</c:v>
                </c:pt>
                <c:pt idx="12">
                  <c:v>rt13</c:v>
                </c:pt>
                <c:pt idx="13">
                  <c:v>rt14</c:v>
                </c:pt>
                <c:pt idx="14">
                  <c:v>rt15</c:v>
                </c:pt>
                <c:pt idx="15">
                  <c:v>rt16</c:v>
                </c:pt>
                <c:pt idx="16">
                  <c:v>rt17</c:v>
                </c:pt>
                <c:pt idx="17">
                  <c:v>rt18</c:v>
                </c:pt>
                <c:pt idx="18">
                  <c:v>rt19</c:v>
                </c:pt>
                <c:pt idx="19">
                  <c:v>rt20</c:v>
                </c:pt>
                <c:pt idx="20">
                  <c:v>rt21</c:v>
                </c:pt>
                <c:pt idx="21">
                  <c:v>rt22</c:v>
                </c:pt>
                <c:pt idx="22">
                  <c:v>rt23</c:v>
                </c:pt>
                <c:pt idx="23">
                  <c:v>rt24</c:v>
                </c:pt>
                <c:pt idx="24">
                  <c:v>rt25</c:v>
                </c:pt>
                <c:pt idx="25">
                  <c:v>rt26</c:v>
                </c:pt>
                <c:pt idx="26">
                  <c:v>rt27</c:v>
                </c:pt>
                <c:pt idx="27">
                  <c:v>rt28</c:v>
                </c:pt>
                <c:pt idx="28">
                  <c:v>rt29</c:v>
                </c:pt>
                <c:pt idx="29">
                  <c:v>rt30</c:v>
                </c:pt>
                <c:pt idx="30">
                  <c:v>rt31</c:v>
                </c:pt>
                <c:pt idx="31">
                  <c:v>rt32</c:v>
                </c:pt>
                <c:pt idx="32">
                  <c:v>rt33</c:v>
                </c:pt>
                <c:pt idx="33">
                  <c:v>rt34</c:v>
                </c:pt>
                <c:pt idx="34">
                  <c:v>rt35</c:v>
                </c:pt>
                <c:pt idx="35">
                  <c:v>rt36</c:v>
                </c:pt>
                <c:pt idx="36">
                  <c:v>rt37</c:v>
                </c:pt>
                <c:pt idx="37">
                  <c:v>rt38</c:v>
                </c:pt>
                <c:pt idx="38">
                  <c:v>rt39</c:v>
                </c:pt>
                <c:pt idx="39">
                  <c:v>rt40</c:v>
                </c:pt>
                <c:pt idx="40">
                  <c:v>rt41</c:v>
                </c:pt>
                <c:pt idx="41">
                  <c:v>rt42</c:v>
                </c:pt>
                <c:pt idx="42">
                  <c:v>rt43</c:v>
                </c:pt>
                <c:pt idx="43">
                  <c:v>rt44</c:v>
                </c:pt>
                <c:pt idx="44">
                  <c:v>rt45</c:v>
                </c:pt>
                <c:pt idx="45">
                  <c:v>rt46</c:v>
                </c:pt>
                <c:pt idx="46">
                  <c:v>rt47</c:v>
                </c:pt>
                <c:pt idx="47">
                  <c:v>rt48</c:v>
                </c:pt>
                <c:pt idx="48">
                  <c:v>rt49</c:v>
                </c:pt>
                <c:pt idx="49">
                  <c:v>rt50</c:v>
                </c:pt>
                <c:pt idx="50">
                  <c:v>rt51</c:v>
                </c:pt>
                <c:pt idx="51">
                  <c:v>rt52</c:v>
                </c:pt>
                <c:pt idx="52">
                  <c:v>rt53</c:v>
                </c:pt>
                <c:pt idx="53">
                  <c:v>rt54</c:v>
                </c:pt>
                <c:pt idx="54">
                  <c:v>rt55</c:v>
                </c:pt>
                <c:pt idx="55">
                  <c:v>rt56</c:v>
                </c:pt>
                <c:pt idx="56">
                  <c:v>rt57</c:v>
                </c:pt>
                <c:pt idx="57">
                  <c:v>rt58</c:v>
                </c:pt>
                <c:pt idx="58">
                  <c:v>rt59</c:v>
                </c:pt>
                <c:pt idx="59">
                  <c:v>rt60</c:v>
                </c:pt>
                <c:pt idx="60">
                  <c:v>rt61</c:v>
                </c:pt>
                <c:pt idx="61">
                  <c:v>rt62</c:v>
                </c:pt>
                <c:pt idx="62">
                  <c:v>rt63</c:v>
                </c:pt>
                <c:pt idx="63">
                  <c:v>rt64</c:v>
                </c:pt>
                <c:pt idx="64">
                  <c:v>rt65</c:v>
                </c:pt>
                <c:pt idx="65">
                  <c:v>rt66</c:v>
                </c:pt>
                <c:pt idx="66">
                  <c:v>rt67</c:v>
                </c:pt>
                <c:pt idx="67">
                  <c:v>rt68</c:v>
                </c:pt>
                <c:pt idx="68">
                  <c:v>rt69</c:v>
                </c:pt>
                <c:pt idx="69">
                  <c:v>rt70</c:v>
                </c:pt>
                <c:pt idx="70">
                  <c:v>rt71</c:v>
                </c:pt>
                <c:pt idx="71">
                  <c:v>rt72</c:v>
                </c:pt>
                <c:pt idx="72">
                  <c:v>rt73</c:v>
                </c:pt>
                <c:pt idx="73">
                  <c:v>rt74</c:v>
                </c:pt>
                <c:pt idx="74">
                  <c:v>rt75</c:v>
                </c:pt>
                <c:pt idx="75">
                  <c:v>rt76</c:v>
                </c:pt>
                <c:pt idx="76">
                  <c:v>rt77</c:v>
                </c:pt>
                <c:pt idx="77">
                  <c:v>rt78</c:v>
                </c:pt>
                <c:pt idx="78">
                  <c:v>rt79</c:v>
                </c:pt>
                <c:pt idx="79">
                  <c:v>rt80</c:v>
                </c:pt>
                <c:pt idx="80">
                  <c:v>rt81</c:v>
                </c:pt>
                <c:pt idx="81">
                  <c:v>rt82</c:v>
                </c:pt>
                <c:pt idx="82">
                  <c:v>rt83</c:v>
                </c:pt>
                <c:pt idx="83">
                  <c:v>rt84</c:v>
                </c:pt>
                <c:pt idx="84">
                  <c:v>rt85</c:v>
                </c:pt>
                <c:pt idx="85">
                  <c:v>rt86</c:v>
                </c:pt>
                <c:pt idx="86">
                  <c:v>rt87</c:v>
                </c:pt>
                <c:pt idx="87">
                  <c:v>rt88</c:v>
                </c:pt>
                <c:pt idx="88">
                  <c:v>rt89</c:v>
                </c:pt>
                <c:pt idx="89">
                  <c:v>rt90</c:v>
                </c:pt>
                <c:pt idx="90">
                  <c:v>rt91</c:v>
                </c:pt>
                <c:pt idx="91">
                  <c:v>rt92</c:v>
                </c:pt>
                <c:pt idx="92">
                  <c:v>rt93</c:v>
                </c:pt>
                <c:pt idx="93">
                  <c:v>rt94</c:v>
                </c:pt>
                <c:pt idx="94">
                  <c:v>rt95</c:v>
                </c:pt>
                <c:pt idx="95">
                  <c:v>rt96</c:v>
                </c:pt>
                <c:pt idx="96">
                  <c:v>rt97</c:v>
                </c:pt>
                <c:pt idx="97">
                  <c:v>rt98</c:v>
                </c:pt>
                <c:pt idx="98">
                  <c:v>rt99</c:v>
                </c:pt>
                <c:pt idx="99">
                  <c:v>rt100</c:v>
                </c:pt>
              </c:strCache>
            </c:strRef>
          </c:cat>
          <c:val>
            <c:numRef>
              <c:f>'Interest Rate Simulation'!$H$115:$H$214</c:f>
              <c:numCache>
                <c:formatCode>0.00%</c:formatCode>
                <c:ptCount val="100"/>
                <c:pt idx="0">
                  <c:v>2.4169023658451711E-2</c:v>
                </c:pt>
                <c:pt idx="1">
                  <c:v>2.5619974067245338E-2</c:v>
                </c:pt>
                <c:pt idx="2">
                  <c:v>2.2550065165684349E-2</c:v>
                </c:pt>
                <c:pt idx="3">
                  <c:v>2.8750104086643215E-2</c:v>
                </c:pt>
                <c:pt idx="4">
                  <c:v>2.6403593416120322E-2</c:v>
                </c:pt>
                <c:pt idx="5">
                  <c:v>2.455512834610377E-2</c:v>
                </c:pt>
                <c:pt idx="6">
                  <c:v>2.2846438181168875E-2</c:v>
                </c:pt>
                <c:pt idx="7">
                  <c:v>2.2241401008210288E-2</c:v>
                </c:pt>
                <c:pt idx="8">
                  <c:v>2.2815138381962943E-2</c:v>
                </c:pt>
                <c:pt idx="9">
                  <c:v>2.441548576220922E-2</c:v>
                </c:pt>
                <c:pt idx="10">
                  <c:v>2.6322055290608642E-2</c:v>
                </c:pt>
                <c:pt idx="11">
                  <c:v>2.6469699688738434E-2</c:v>
                </c:pt>
                <c:pt idx="12">
                  <c:v>2.8542997929756498E-2</c:v>
                </c:pt>
                <c:pt idx="13">
                  <c:v>2.4656228591556886E-2</c:v>
                </c:pt>
                <c:pt idx="14">
                  <c:v>2.6839605575423545E-2</c:v>
                </c:pt>
                <c:pt idx="15">
                  <c:v>2.4310668920125383E-2</c:v>
                </c:pt>
                <c:pt idx="16">
                  <c:v>2.3753548981102813E-2</c:v>
                </c:pt>
                <c:pt idx="17">
                  <c:v>2.5424562767883744E-2</c:v>
                </c:pt>
                <c:pt idx="18">
                  <c:v>2.3906003081636516E-2</c:v>
                </c:pt>
                <c:pt idx="19">
                  <c:v>2.3087350914704634E-2</c:v>
                </c:pt>
                <c:pt idx="20">
                  <c:v>2.5631318578932482E-2</c:v>
                </c:pt>
                <c:pt idx="21">
                  <c:v>2.6179270760347605E-2</c:v>
                </c:pt>
                <c:pt idx="22">
                  <c:v>2.6672418513614078E-2</c:v>
                </c:pt>
                <c:pt idx="23">
                  <c:v>2.3401308679299196E-2</c:v>
                </c:pt>
                <c:pt idx="24">
                  <c:v>2.2755704799387075E-2</c:v>
                </c:pt>
                <c:pt idx="25">
                  <c:v>2.475366758130142E-2</c:v>
                </c:pt>
                <c:pt idx="26">
                  <c:v>2.8793080522332336E-2</c:v>
                </c:pt>
                <c:pt idx="27">
                  <c:v>2.954259860842396E-2</c:v>
                </c:pt>
                <c:pt idx="28">
                  <c:v>2.2748590462897973E-2</c:v>
                </c:pt>
                <c:pt idx="29">
                  <c:v>2.6474034388968809E-2</c:v>
                </c:pt>
                <c:pt idx="30">
                  <c:v>2.5256370382988887E-2</c:v>
                </c:pt>
                <c:pt idx="31">
                  <c:v>2.2646897320088517E-2</c:v>
                </c:pt>
                <c:pt idx="32">
                  <c:v>2.329915299030379E-2</c:v>
                </c:pt>
                <c:pt idx="33">
                  <c:v>2.6362457810608926E-2</c:v>
                </c:pt>
                <c:pt idx="34">
                  <c:v>2.2019935494214569E-2</c:v>
                </c:pt>
                <c:pt idx="35">
                  <c:v>2.3357291189085479E-2</c:v>
                </c:pt>
                <c:pt idx="36">
                  <c:v>2.3910591077540025E-2</c:v>
                </c:pt>
                <c:pt idx="37">
                  <c:v>2.2620369966939963E-2</c:v>
                </c:pt>
                <c:pt idx="38">
                  <c:v>2.674127234259821E-2</c:v>
                </c:pt>
                <c:pt idx="39">
                  <c:v>2.7409783814584789E-2</c:v>
                </c:pt>
                <c:pt idx="40">
                  <c:v>2.6027143992937447E-2</c:v>
                </c:pt>
                <c:pt idx="41">
                  <c:v>2.3872253851609099E-2</c:v>
                </c:pt>
                <c:pt idx="42">
                  <c:v>2.7279692624069634E-2</c:v>
                </c:pt>
                <c:pt idx="43">
                  <c:v>2.6120663659394965E-2</c:v>
                </c:pt>
                <c:pt idx="44">
                  <c:v>2.6408191883217278E-2</c:v>
                </c:pt>
                <c:pt idx="45">
                  <c:v>2.4999606768591691E-2</c:v>
                </c:pt>
                <c:pt idx="46">
                  <c:v>2.5847672644387681E-2</c:v>
                </c:pt>
                <c:pt idx="47">
                  <c:v>2.8573592944389416E-2</c:v>
                </c:pt>
                <c:pt idx="48">
                  <c:v>2.143908858798255E-2</c:v>
                </c:pt>
                <c:pt idx="49">
                  <c:v>2.7268594290528681E-2</c:v>
                </c:pt>
                <c:pt idx="50">
                  <c:v>2.485010724419642E-2</c:v>
                </c:pt>
                <c:pt idx="51">
                  <c:v>2.6775830720360279E-2</c:v>
                </c:pt>
                <c:pt idx="52">
                  <c:v>2.7796680635729463E-2</c:v>
                </c:pt>
                <c:pt idx="53">
                  <c:v>2.3464062509774074E-2</c:v>
                </c:pt>
                <c:pt idx="54">
                  <c:v>2.3046793050240516E-2</c:v>
                </c:pt>
                <c:pt idx="55">
                  <c:v>2.3558272302808915E-2</c:v>
                </c:pt>
                <c:pt idx="56">
                  <c:v>2.6871388479216905E-2</c:v>
                </c:pt>
                <c:pt idx="57">
                  <c:v>2.3574316125626632E-2</c:v>
                </c:pt>
                <c:pt idx="58">
                  <c:v>2.4863808777645355E-2</c:v>
                </c:pt>
                <c:pt idx="59">
                  <c:v>2.4115561680303547E-2</c:v>
                </c:pt>
                <c:pt idx="60">
                  <c:v>2.5015736617979067E-2</c:v>
                </c:pt>
                <c:pt idx="61">
                  <c:v>2.9487984136617903E-2</c:v>
                </c:pt>
                <c:pt idx="62">
                  <c:v>2.427986085607094E-2</c:v>
                </c:pt>
                <c:pt idx="63">
                  <c:v>2.7079000377987095E-2</c:v>
                </c:pt>
                <c:pt idx="64">
                  <c:v>2.5483145623907268E-2</c:v>
                </c:pt>
                <c:pt idx="65">
                  <c:v>2.5892800949867407E-2</c:v>
                </c:pt>
                <c:pt idx="66">
                  <c:v>2.3970999248516357E-2</c:v>
                </c:pt>
                <c:pt idx="67">
                  <c:v>2.6505610629193144E-2</c:v>
                </c:pt>
                <c:pt idx="68">
                  <c:v>2.3332072599206995E-2</c:v>
                </c:pt>
                <c:pt idx="69">
                  <c:v>2.964240264470307E-2</c:v>
                </c:pt>
                <c:pt idx="70">
                  <c:v>2.68999110188618E-2</c:v>
                </c:pt>
                <c:pt idx="71">
                  <c:v>2.6011776510540388E-2</c:v>
                </c:pt>
                <c:pt idx="72">
                  <c:v>2.3861642452868221E-2</c:v>
                </c:pt>
                <c:pt idx="73">
                  <c:v>2.7485707318080175E-2</c:v>
                </c:pt>
                <c:pt idx="74">
                  <c:v>2.7714528149182568E-2</c:v>
                </c:pt>
                <c:pt idx="75">
                  <c:v>2.4825179020164359E-2</c:v>
                </c:pt>
                <c:pt idx="76">
                  <c:v>2.5299940526437224E-2</c:v>
                </c:pt>
                <c:pt idx="77">
                  <c:v>2.7448630611398985E-2</c:v>
                </c:pt>
                <c:pt idx="78">
                  <c:v>2.4399381621853008E-2</c:v>
                </c:pt>
                <c:pt idx="79">
                  <c:v>2.2311361596523388E-2</c:v>
                </c:pt>
                <c:pt idx="80">
                  <c:v>2.4462760735205376E-2</c:v>
                </c:pt>
                <c:pt idx="81">
                  <c:v>2.5562896210228447E-2</c:v>
                </c:pt>
                <c:pt idx="82">
                  <c:v>2.5494900487771678E-2</c:v>
                </c:pt>
                <c:pt idx="83">
                  <c:v>2.4050443706405449E-2</c:v>
                </c:pt>
                <c:pt idx="84">
                  <c:v>2.3178177257571684E-2</c:v>
                </c:pt>
                <c:pt idx="85">
                  <c:v>2.7151446053251684E-2</c:v>
                </c:pt>
                <c:pt idx="86">
                  <c:v>2.3672883679414974E-2</c:v>
                </c:pt>
                <c:pt idx="87">
                  <c:v>2.6721942124316649E-2</c:v>
                </c:pt>
                <c:pt idx="88">
                  <c:v>2.6773257474133939E-2</c:v>
                </c:pt>
                <c:pt idx="89">
                  <c:v>2.4300909452605279E-2</c:v>
                </c:pt>
                <c:pt idx="90">
                  <c:v>2.3283184624737805E-2</c:v>
                </c:pt>
                <c:pt idx="91">
                  <c:v>2.2871732381963064E-2</c:v>
                </c:pt>
                <c:pt idx="92">
                  <c:v>2.3942271716305363E-2</c:v>
                </c:pt>
                <c:pt idx="93">
                  <c:v>2.4889401809818697E-2</c:v>
                </c:pt>
                <c:pt idx="94">
                  <c:v>2.2087998671227425E-2</c:v>
                </c:pt>
                <c:pt idx="95">
                  <c:v>2.6135608931400999E-2</c:v>
                </c:pt>
                <c:pt idx="96">
                  <c:v>2.4823815443878978E-2</c:v>
                </c:pt>
                <c:pt idx="97">
                  <c:v>3.0239430075030445E-2</c:v>
                </c:pt>
                <c:pt idx="98">
                  <c:v>2.522225918819964E-2</c:v>
                </c:pt>
                <c:pt idx="99">
                  <c:v>2.5473328995362976E-2</c:v>
                </c:pt>
              </c:numCache>
            </c:numRef>
          </c:val>
        </c:ser>
        <c:ser>
          <c:idx val="7"/>
          <c:order val="7"/>
          <c:cat>
            <c:strRef>
              <c:f>'Interest Rate Simulation'!$A$115:$A$214</c:f>
              <c:strCache>
                <c:ptCount val="100"/>
                <c:pt idx="0">
                  <c:v>rt1</c:v>
                </c:pt>
                <c:pt idx="1">
                  <c:v>rt2</c:v>
                </c:pt>
                <c:pt idx="2">
                  <c:v>rt3</c:v>
                </c:pt>
                <c:pt idx="3">
                  <c:v>rt4</c:v>
                </c:pt>
                <c:pt idx="4">
                  <c:v>rt5</c:v>
                </c:pt>
                <c:pt idx="5">
                  <c:v>rt6</c:v>
                </c:pt>
                <c:pt idx="6">
                  <c:v>rt7</c:v>
                </c:pt>
                <c:pt idx="7">
                  <c:v>rt8</c:v>
                </c:pt>
                <c:pt idx="8">
                  <c:v>rt9</c:v>
                </c:pt>
                <c:pt idx="9">
                  <c:v>rt10</c:v>
                </c:pt>
                <c:pt idx="10">
                  <c:v>rt11</c:v>
                </c:pt>
                <c:pt idx="11">
                  <c:v>rt12</c:v>
                </c:pt>
                <c:pt idx="12">
                  <c:v>rt13</c:v>
                </c:pt>
                <c:pt idx="13">
                  <c:v>rt14</c:v>
                </c:pt>
                <c:pt idx="14">
                  <c:v>rt15</c:v>
                </c:pt>
                <c:pt idx="15">
                  <c:v>rt16</c:v>
                </c:pt>
                <c:pt idx="16">
                  <c:v>rt17</c:v>
                </c:pt>
                <c:pt idx="17">
                  <c:v>rt18</c:v>
                </c:pt>
                <c:pt idx="18">
                  <c:v>rt19</c:v>
                </c:pt>
                <c:pt idx="19">
                  <c:v>rt20</c:v>
                </c:pt>
                <c:pt idx="20">
                  <c:v>rt21</c:v>
                </c:pt>
                <c:pt idx="21">
                  <c:v>rt22</c:v>
                </c:pt>
                <c:pt idx="22">
                  <c:v>rt23</c:v>
                </c:pt>
                <c:pt idx="23">
                  <c:v>rt24</c:v>
                </c:pt>
                <c:pt idx="24">
                  <c:v>rt25</c:v>
                </c:pt>
                <c:pt idx="25">
                  <c:v>rt26</c:v>
                </c:pt>
                <c:pt idx="26">
                  <c:v>rt27</c:v>
                </c:pt>
                <c:pt idx="27">
                  <c:v>rt28</c:v>
                </c:pt>
                <c:pt idx="28">
                  <c:v>rt29</c:v>
                </c:pt>
                <c:pt idx="29">
                  <c:v>rt30</c:v>
                </c:pt>
                <c:pt idx="30">
                  <c:v>rt31</c:v>
                </c:pt>
                <c:pt idx="31">
                  <c:v>rt32</c:v>
                </c:pt>
                <c:pt idx="32">
                  <c:v>rt33</c:v>
                </c:pt>
                <c:pt idx="33">
                  <c:v>rt34</c:v>
                </c:pt>
                <c:pt idx="34">
                  <c:v>rt35</c:v>
                </c:pt>
                <c:pt idx="35">
                  <c:v>rt36</c:v>
                </c:pt>
                <c:pt idx="36">
                  <c:v>rt37</c:v>
                </c:pt>
                <c:pt idx="37">
                  <c:v>rt38</c:v>
                </c:pt>
                <c:pt idx="38">
                  <c:v>rt39</c:v>
                </c:pt>
                <c:pt idx="39">
                  <c:v>rt40</c:v>
                </c:pt>
                <c:pt idx="40">
                  <c:v>rt41</c:v>
                </c:pt>
                <c:pt idx="41">
                  <c:v>rt42</c:v>
                </c:pt>
                <c:pt idx="42">
                  <c:v>rt43</c:v>
                </c:pt>
                <c:pt idx="43">
                  <c:v>rt44</c:v>
                </c:pt>
                <c:pt idx="44">
                  <c:v>rt45</c:v>
                </c:pt>
                <c:pt idx="45">
                  <c:v>rt46</c:v>
                </c:pt>
                <c:pt idx="46">
                  <c:v>rt47</c:v>
                </c:pt>
                <c:pt idx="47">
                  <c:v>rt48</c:v>
                </c:pt>
                <c:pt idx="48">
                  <c:v>rt49</c:v>
                </c:pt>
                <c:pt idx="49">
                  <c:v>rt50</c:v>
                </c:pt>
                <c:pt idx="50">
                  <c:v>rt51</c:v>
                </c:pt>
                <c:pt idx="51">
                  <c:v>rt52</c:v>
                </c:pt>
                <c:pt idx="52">
                  <c:v>rt53</c:v>
                </c:pt>
                <c:pt idx="53">
                  <c:v>rt54</c:v>
                </c:pt>
                <c:pt idx="54">
                  <c:v>rt55</c:v>
                </c:pt>
                <c:pt idx="55">
                  <c:v>rt56</c:v>
                </c:pt>
                <c:pt idx="56">
                  <c:v>rt57</c:v>
                </c:pt>
                <c:pt idx="57">
                  <c:v>rt58</c:v>
                </c:pt>
                <c:pt idx="58">
                  <c:v>rt59</c:v>
                </c:pt>
                <c:pt idx="59">
                  <c:v>rt60</c:v>
                </c:pt>
                <c:pt idx="60">
                  <c:v>rt61</c:v>
                </c:pt>
                <c:pt idx="61">
                  <c:v>rt62</c:v>
                </c:pt>
                <c:pt idx="62">
                  <c:v>rt63</c:v>
                </c:pt>
                <c:pt idx="63">
                  <c:v>rt64</c:v>
                </c:pt>
                <c:pt idx="64">
                  <c:v>rt65</c:v>
                </c:pt>
                <c:pt idx="65">
                  <c:v>rt66</c:v>
                </c:pt>
                <c:pt idx="66">
                  <c:v>rt67</c:v>
                </c:pt>
                <c:pt idx="67">
                  <c:v>rt68</c:v>
                </c:pt>
                <c:pt idx="68">
                  <c:v>rt69</c:v>
                </c:pt>
                <c:pt idx="69">
                  <c:v>rt70</c:v>
                </c:pt>
                <c:pt idx="70">
                  <c:v>rt71</c:v>
                </c:pt>
                <c:pt idx="71">
                  <c:v>rt72</c:v>
                </c:pt>
                <c:pt idx="72">
                  <c:v>rt73</c:v>
                </c:pt>
                <c:pt idx="73">
                  <c:v>rt74</c:v>
                </c:pt>
                <c:pt idx="74">
                  <c:v>rt75</c:v>
                </c:pt>
                <c:pt idx="75">
                  <c:v>rt76</c:v>
                </c:pt>
                <c:pt idx="76">
                  <c:v>rt77</c:v>
                </c:pt>
                <c:pt idx="77">
                  <c:v>rt78</c:v>
                </c:pt>
                <c:pt idx="78">
                  <c:v>rt79</c:v>
                </c:pt>
                <c:pt idx="79">
                  <c:v>rt80</c:v>
                </c:pt>
                <c:pt idx="80">
                  <c:v>rt81</c:v>
                </c:pt>
                <c:pt idx="81">
                  <c:v>rt82</c:v>
                </c:pt>
                <c:pt idx="82">
                  <c:v>rt83</c:v>
                </c:pt>
                <c:pt idx="83">
                  <c:v>rt84</c:v>
                </c:pt>
                <c:pt idx="84">
                  <c:v>rt85</c:v>
                </c:pt>
                <c:pt idx="85">
                  <c:v>rt86</c:v>
                </c:pt>
                <c:pt idx="86">
                  <c:v>rt87</c:v>
                </c:pt>
                <c:pt idx="87">
                  <c:v>rt88</c:v>
                </c:pt>
                <c:pt idx="88">
                  <c:v>rt89</c:v>
                </c:pt>
                <c:pt idx="89">
                  <c:v>rt90</c:v>
                </c:pt>
                <c:pt idx="90">
                  <c:v>rt91</c:v>
                </c:pt>
                <c:pt idx="91">
                  <c:v>rt92</c:v>
                </c:pt>
                <c:pt idx="92">
                  <c:v>rt93</c:v>
                </c:pt>
                <c:pt idx="93">
                  <c:v>rt94</c:v>
                </c:pt>
                <c:pt idx="94">
                  <c:v>rt95</c:v>
                </c:pt>
                <c:pt idx="95">
                  <c:v>rt96</c:v>
                </c:pt>
                <c:pt idx="96">
                  <c:v>rt97</c:v>
                </c:pt>
                <c:pt idx="97">
                  <c:v>rt98</c:v>
                </c:pt>
                <c:pt idx="98">
                  <c:v>rt99</c:v>
                </c:pt>
                <c:pt idx="99">
                  <c:v>rt100</c:v>
                </c:pt>
              </c:strCache>
            </c:strRef>
          </c:cat>
          <c:val>
            <c:numRef>
              <c:f>'Interest Rate Simulation'!$I$115:$I$214</c:f>
              <c:numCache>
                <c:formatCode>0.00%</c:formatCode>
                <c:ptCount val="100"/>
                <c:pt idx="0">
                  <c:v>2.4087311027706206E-2</c:v>
                </c:pt>
                <c:pt idx="1">
                  <c:v>2.4918453778993804E-2</c:v>
                </c:pt>
                <c:pt idx="2">
                  <c:v>2.2042149878466491E-2</c:v>
                </c:pt>
                <c:pt idx="3">
                  <c:v>2.9959587186211747E-2</c:v>
                </c:pt>
                <c:pt idx="4">
                  <c:v>2.6122811466440254E-2</c:v>
                </c:pt>
                <c:pt idx="5">
                  <c:v>2.5584548149566292E-2</c:v>
                </c:pt>
                <c:pt idx="6">
                  <c:v>2.3544434864953237E-2</c:v>
                </c:pt>
                <c:pt idx="7">
                  <c:v>2.2242345819354237E-2</c:v>
                </c:pt>
                <c:pt idx="8">
                  <c:v>2.2305588533731883E-2</c:v>
                </c:pt>
                <c:pt idx="9">
                  <c:v>2.4724764120413772E-2</c:v>
                </c:pt>
                <c:pt idx="10">
                  <c:v>2.7634937983806167E-2</c:v>
                </c:pt>
                <c:pt idx="11">
                  <c:v>2.7302863226921378E-2</c:v>
                </c:pt>
                <c:pt idx="12">
                  <c:v>2.8835918824320943E-2</c:v>
                </c:pt>
                <c:pt idx="13">
                  <c:v>2.4298188220732524E-2</c:v>
                </c:pt>
                <c:pt idx="14">
                  <c:v>2.6932948990251962E-2</c:v>
                </c:pt>
                <c:pt idx="15">
                  <c:v>2.3776928693536648E-2</c:v>
                </c:pt>
                <c:pt idx="16">
                  <c:v>2.2651085634716177E-2</c:v>
                </c:pt>
                <c:pt idx="17">
                  <c:v>2.5705848400739199E-2</c:v>
                </c:pt>
                <c:pt idx="18">
                  <c:v>2.3368917954277067E-2</c:v>
                </c:pt>
                <c:pt idx="19">
                  <c:v>2.2677736753816926E-2</c:v>
                </c:pt>
                <c:pt idx="20">
                  <c:v>2.6699489085390705E-2</c:v>
                </c:pt>
                <c:pt idx="21">
                  <c:v>2.7036661626143425E-2</c:v>
                </c:pt>
                <c:pt idx="22">
                  <c:v>2.6320153798217016E-2</c:v>
                </c:pt>
                <c:pt idx="23">
                  <c:v>2.2481498259576179E-2</c:v>
                </c:pt>
                <c:pt idx="24">
                  <c:v>2.2705507722363964E-2</c:v>
                </c:pt>
                <c:pt idx="25">
                  <c:v>2.64281749357149E-2</c:v>
                </c:pt>
                <c:pt idx="26">
                  <c:v>2.8324229503722667E-2</c:v>
                </c:pt>
                <c:pt idx="27">
                  <c:v>2.9798638209653863E-2</c:v>
                </c:pt>
                <c:pt idx="28">
                  <c:v>2.2105502786070493E-2</c:v>
                </c:pt>
                <c:pt idx="29">
                  <c:v>2.6584694746927307E-2</c:v>
                </c:pt>
                <c:pt idx="30">
                  <c:v>2.5926032826448717E-2</c:v>
                </c:pt>
                <c:pt idx="31">
                  <c:v>2.2512253353404295E-2</c:v>
                </c:pt>
                <c:pt idx="32">
                  <c:v>2.3819068113311019E-2</c:v>
                </c:pt>
                <c:pt idx="33">
                  <c:v>2.638671205244204E-2</c:v>
                </c:pt>
                <c:pt idx="34">
                  <c:v>2.1934858013447026E-2</c:v>
                </c:pt>
                <c:pt idx="35">
                  <c:v>2.4004030750117498E-2</c:v>
                </c:pt>
                <c:pt idx="36">
                  <c:v>2.3515046134060601E-2</c:v>
                </c:pt>
                <c:pt idx="37">
                  <c:v>2.2440839354254897E-2</c:v>
                </c:pt>
                <c:pt idx="38">
                  <c:v>2.6927717501141445E-2</c:v>
                </c:pt>
                <c:pt idx="39">
                  <c:v>2.8112083447454354E-2</c:v>
                </c:pt>
                <c:pt idx="40">
                  <c:v>2.6632888702974793E-2</c:v>
                </c:pt>
                <c:pt idx="41">
                  <c:v>2.299010446027891E-2</c:v>
                </c:pt>
                <c:pt idx="42">
                  <c:v>2.8170980773597133E-2</c:v>
                </c:pt>
                <c:pt idx="43">
                  <c:v>2.5902375250302201E-2</c:v>
                </c:pt>
                <c:pt idx="44">
                  <c:v>2.6181568513239682E-2</c:v>
                </c:pt>
                <c:pt idx="45">
                  <c:v>2.4278236914815218E-2</c:v>
                </c:pt>
                <c:pt idx="46">
                  <c:v>2.5547607530111958E-2</c:v>
                </c:pt>
                <c:pt idx="47">
                  <c:v>2.8122011157057075E-2</c:v>
                </c:pt>
                <c:pt idx="48">
                  <c:v>2.0412905751821555E-2</c:v>
                </c:pt>
                <c:pt idx="49">
                  <c:v>2.6693380749055761E-2</c:v>
                </c:pt>
                <c:pt idx="50">
                  <c:v>2.333236658803781E-2</c:v>
                </c:pt>
                <c:pt idx="51">
                  <c:v>2.604660561226059E-2</c:v>
                </c:pt>
                <c:pt idx="52">
                  <c:v>2.8289109462321934E-2</c:v>
                </c:pt>
                <c:pt idx="53">
                  <c:v>2.3241438501895618E-2</c:v>
                </c:pt>
                <c:pt idx="54">
                  <c:v>2.2858668087706771E-2</c:v>
                </c:pt>
                <c:pt idx="55">
                  <c:v>2.3385772296450724E-2</c:v>
                </c:pt>
                <c:pt idx="56">
                  <c:v>2.6116400034608776E-2</c:v>
                </c:pt>
                <c:pt idx="57">
                  <c:v>2.2800307082088567E-2</c:v>
                </c:pt>
                <c:pt idx="58">
                  <c:v>2.5316316784512453E-2</c:v>
                </c:pt>
                <c:pt idx="59">
                  <c:v>2.3846839881884546E-2</c:v>
                </c:pt>
                <c:pt idx="60">
                  <c:v>2.5312319051062602E-2</c:v>
                </c:pt>
                <c:pt idx="61">
                  <c:v>2.9188410292646703E-2</c:v>
                </c:pt>
                <c:pt idx="62">
                  <c:v>2.3370706880708518E-2</c:v>
                </c:pt>
                <c:pt idx="63">
                  <c:v>2.8615815759331274E-2</c:v>
                </c:pt>
                <c:pt idx="64">
                  <c:v>2.6579505530328368E-2</c:v>
                </c:pt>
                <c:pt idx="65">
                  <c:v>2.5972901029775456E-2</c:v>
                </c:pt>
                <c:pt idx="66">
                  <c:v>2.4917267400133686E-2</c:v>
                </c:pt>
                <c:pt idx="67">
                  <c:v>2.6061976654739763E-2</c:v>
                </c:pt>
                <c:pt idx="68">
                  <c:v>2.3243598255407415E-2</c:v>
                </c:pt>
                <c:pt idx="69">
                  <c:v>2.756200441895577E-2</c:v>
                </c:pt>
                <c:pt idx="70">
                  <c:v>2.5803858576871661E-2</c:v>
                </c:pt>
                <c:pt idx="71">
                  <c:v>2.6371582109061681E-2</c:v>
                </c:pt>
                <c:pt idx="72">
                  <c:v>2.4232665395544736E-2</c:v>
                </c:pt>
                <c:pt idx="73">
                  <c:v>2.7431527346084377E-2</c:v>
                </c:pt>
                <c:pt idx="74">
                  <c:v>2.780524803724237E-2</c:v>
                </c:pt>
                <c:pt idx="75">
                  <c:v>2.4007899107861632E-2</c:v>
                </c:pt>
                <c:pt idx="76">
                  <c:v>2.6471474377717307E-2</c:v>
                </c:pt>
                <c:pt idx="77">
                  <c:v>2.7968285197124493E-2</c:v>
                </c:pt>
                <c:pt idx="78">
                  <c:v>2.453354839947508E-2</c:v>
                </c:pt>
                <c:pt idx="79">
                  <c:v>2.2433730016133385E-2</c:v>
                </c:pt>
                <c:pt idx="80">
                  <c:v>2.4514679708586444E-2</c:v>
                </c:pt>
                <c:pt idx="81">
                  <c:v>2.5314919219828085E-2</c:v>
                </c:pt>
                <c:pt idx="82">
                  <c:v>2.4896585376121931E-2</c:v>
                </c:pt>
                <c:pt idx="83">
                  <c:v>2.4092418779673299E-2</c:v>
                </c:pt>
                <c:pt idx="84">
                  <c:v>2.3808144744542747E-2</c:v>
                </c:pt>
                <c:pt idx="85">
                  <c:v>2.6400838721538172E-2</c:v>
                </c:pt>
                <c:pt idx="86">
                  <c:v>2.3945959808421777E-2</c:v>
                </c:pt>
                <c:pt idx="87">
                  <c:v>2.7868736681117039E-2</c:v>
                </c:pt>
                <c:pt idx="88">
                  <c:v>2.6784594884413551E-2</c:v>
                </c:pt>
                <c:pt idx="89">
                  <c:v>2.2882645093149388E-2</c:v>
                </c:pt>
                <c:pt idx="90">
                  <c:v>2.3665699228493202E-2</c:v>
                </c:pt>
                <c:pt idx="91">
                  <c:v>2.2488953564479455E-2</c:v>
                </c:pt>
                <c:pt idx="92">
                  <c:v>2.4273444724198925E-2</c:v>
                </c:pt>
                <c:pt idx="93">
                  <c:v>2.506500851728008E-2</c:v>
                </c:pt>
                <c:pt idx="94">
                  <c:v>2.2035782600821226E-2</c:v>
                </c:pt>
                <c:pt idx="95">
                  <c:v>2.8107226793793551E-2</c:v>
                </c:pt>
                <c:pt idx="96">
                  <c:v>2.4351311475673029E-2</c:v>
                </c:pt>
                <c:pt idx="97">
                  <c:v>3.0107763728458109E-2</c:v>
                </c:pt>
                <c:pt idx="98">
                  <c:v>2.5285041857863243E-2</c:v>
                </c:pt>
                <c:pt idx="99">
                  <c:v>2.5356908843260913E-2</c:v>
                </c:pt>
              </c:numCache>
            </c:numRef>
          </c:val>
        </c:ser>
        <c:ser>
          <c:idx val="8"/>
          <c:order val="8"/>
          <c:cat>
            <c:strRef>
              <c:f>'Interest Rate Simulation'!$A$115:$A$214</c:f>
              <c:strCache>
                <c:ptCount val="100"/>
                <c:pt idx="0">
                  <c:v>rt1</c:v>
                </c:pt>
                <c:pt idx="1">
                  <c:v>rt2</c:v>
                </c:pt>
                <c:pt idx="2">
                  <c:v>rt3</c:v>
                </c:pt>
                <c:pt idx="3">
                  <c:v>rt4</c:v>
                </c:pt>
                <c:pt idx="4">
                  <c:v>rt5</c:v>
                </c:pt>
                <c:pt idx="5">
                  <c:v>rt6</c:v>
                </c:pt>
                <c:pt idx="6">
                  <c:v>rt7</c:v>
                </c:pt>
                <c:pt idx="7">
                  <c:v>rt8</c:v>
                </c:pt>
                <c:pt idx="8">
                  <c:v>rt9</c:v>
                </c:pt>
                <c:pt idx="9">
                  <c:v>rt10</c:v>
                </c:pt>
                <c:pt idx="10">
                  <c:v>rt11</c:v>
                </c:pt>
                <c:pt idx="11">
                  <c:v>rt12</c:v>
                </c:pt>
                <c:pt idx="12">
                  <c:v>rt13</c:v>
                </c:pt>
                <c:pt idx="13">
                  <c:v>rt14</c:v>
                </c:pt>
                <c:pt idx="14">
                  <c:v>rt15</c:v>
                </c:pt>
                <c:pt idx="15">
                  <c:v>rt16</c:v>
                </c:pt>
                <c:pt idx="16">
                  <c:v>rt17</c:v>
                </c:pt>
                <c:pt idx="17">
                  <c:v>rt18</c:v>
                </c:pt>
                <c:pt idx="18">
                  <c:v>rt19</c:v>
                </c:pt>
                <c:pt idx="19">
                  <c:v>rt20</c:v>
                </c:pt>
                <c:pt idx="20">
                  <c:v>rt21</c:v>
                </c:pt>
                <c:pt idx="21">
                  <c:v>rt22</c:v>
                </c:pt>
                <c:pt idx="22">
                  <c:v>rt23</c:v>
                </c:pt>
                <c:pt idx="23">
                  <c:v>rt24</c:v>
                </c:pt>
                <c:pt idx="24">
                  <c:v>rt25</c:v>
                </c:pt>
                <c:pt idx="25">
                  <c:v>rt26</c:v>
                </c:pt>
                <c:pt idx="26">
                  <c:v>rt27</c:v>
                </c:pt>
                <c:pt idx="27">
                  <c:v>rt28</c:v>
                </c:pt>
                <c:pt idx="28">
                  <c:v>rt29</c:v>
                </c:pt>
                <c:pt idx="29">
                  <c:v>rt30</c:v>
                </c:pt>
                <c:pt idx="30">
                  <c:v>rt31</c:v>
                </c:pt>
                <c:pt idx="31">
                  <c:v>rt32</c:v>
                </c:pt>
                <c:pt idx="32">
                  <c:v>rt33</c:v>
                </c:pt>
                <c:pt idx="33">
                  <c:v>rt34</c:v>
                </c:pt>
                <c:pt idx="34">
                  <c:v>rt35</c:v>
                </c:pt>
                <c:pt idx="35">
                  <c:v>rt36</c:v>
                </c:pt>
                <c:pt idx="36">
                  <c:v>rt37</c:v>
                </c:pt>
                <c:pt idx="37">
                  <c:v>rt38</c:v>
                </c:pt>
                <c:pt idx="38">
                  <c:v>rt39</c:v>
                </c:pt>
                <c:pt idx="39">
                  <c:v>rt40</c:v>
                </c:pt>
                <c:pt idx="40">
                  <c:v>rt41</c:v>
                </c:pt>
                <c:pt idx="41">
                  <c:v>rt42</c:v>
                </c:pt>
                <c:pt idx="42">
                  <c:v>rt43</c:v>
                </c:pt>
                <c:pt idx="43">
                  <c:v>rt44</c:v>
                </c:pt>
                <c:pt idx="44">
                  <c:v>rt45</c:v>
                </c:pt>
                <c:pt idx="45">
                  <c:v>rt46</c:v>
                </c:pt>
                <c:pt idx="46">
                  <c:v>rt47</c:v>
                </c:pt>
                <c:pt idx="47">
                  <c:v>rt48</c:v>
                </c:pt>
                <c:pt idx="48">
                  <c:v>rt49</c:v>
                </c:pt>
                <c:pt idx="49">
                  <c:v>rt50</c:v>
                </c:pt>
                <c:pt idx="50">
                  <c:v>rt51</c:v>
                </c:pt>
                <c:pt idx="51">
                  <c:v>rt52</c:v>
                </c:pt>
                <c:pt idx="52">
                  <c:v>rt53</c:v>
                </c:pt>
                <c:pt idx="53">
                  <c:v>rt54</c:v>
                </c:pt>
                <c:pt idx="54">
                  <c:v>rt55</c:v>
                </c:pt>
                <c:pt idx="55">
                  <c:v>rt56</c:v>
                </c:pt>
                <c:pt idx="56">
                  <c:v>rt57</c:v>
                </c:pt>
                <c:pt idx="57">
                  <c:v>rt58</c:v>
                </c:pt>
                <c:pt idx="58">
                  <c:v>rt59</c:v>
                </c:pt>
                <c:pt idx="59">
                  <c:v>rt60</c:v>
                </c:pt>
                <c:pt idx="60">
                  <c:v>rt61</c:v>
                </c:pt>
                <c:pt idx="61">
                  <c:v>rt62</c:v>
                </c:pt>
                <c:pt idx="62">
                  <c:v>rt63</c:v>
                </c:pt>
                <c:pt idx="63">
                  <c:v>rt64</c:v>
                </c:pt>
                <c:pt idx="64">
                  <c:v>rt65</c:v>
                </c:pt>
                <c:pt idx="65">
                  <c:v>rt66</c:v>
                </c:pt>
                <c:pt idx="66">
                  <c:v>rt67</c:v>
                </c:pt>
                <c:pt idx="67">
                  <c:v>rt68</c:v>
                </c:pt>
                <c:pt idx="68">
                  <c:v>rt69</c:v>
                </c:pt>
                <c:pt idx="69">
                  <c:v>rt70</c:v>
                </c:pt>
                <c:pt idx="70">
                  <c:v>rt71</c:v>
                </c:pt>
                <c:pt idx="71">
                  <c:v>rt72</c:v>
                </c:pt>
                <c:pt idx="72">
                  <c:v>rt73</c:v>
                </c:pt>
                <c:pt idx="73">
                  <c:v>rt74</c:v>
                </c:pt>
                <c:pt idx="74">
                  <c:v>rt75</c:v>
                </c:pt>
                <c:pt idx="75">
                  <c:v>rt76</c:v>
                </c:pt>
                <c:pt idx="76">
                  <c:v>rt77</c:v>
                </c:pt>
                <c:pt idx="77">
                  <c:v>rt78</c:v>
                </c:pt>
                <c:pt idx="78">
                  <c:v>rt79</c:v>
                </c:pt>
                <c:pt idx="79">
                  <c:v>rt80</c:v>
                </c:pt>
                <c:pt idx="80">
                  <c:v>rt81</c:v>
                </c:pt>
                <c:pt idx="81">
                  <c:v>rt82</c:v>
                </c:pt>
                <c:pt idx="82">
                  <c:v>rt83</c:v>
                </c:pt>
                <c:pt idx="83">
                  <c:v>rt84</c:v>
                </c:pt>
                <c:pt idx="84">
                  <c:v>rt85</c:v>
                </c:pt>
                <c:pt idx="85">
                  <c:v>rt86</c:v>
                </c:pt>
                <c:pt idx="86">
                  <c:v>rt87</c:v>
                </c:pt>
                <c:pt idx="87">
                  <c:v>rt88</c:v>
                </c:pt>
                <c:pt idx="88">
                  <c:v>rt89</c:v>
                </c:pt>
                <c:pt idx="89">
                  <c:v>rt90</c:v>
                </c:pt>
                <c:pt idx="90">
                  <c:v>rt91</c:v>
                </c:pt>
                <c:pt idx="91">
                  <c:v>rt92</c:v>
                </c:pt>
                <c:pt idx="92">
                  <c:v>rt93</c:v>
                </c:pt>
                <c:pt idx="93">
                  <c:v>rt94</c:v>
                </c:pt>
                <c:pt idx="94">
                  <c:v>rt95</c:v>
                </c:pt>
                <c:pt idx="95">
                  <c:v>rt96</c:v>
                </c:pt>
                <c:pt idx="96">
                  <c:v>rt97</c:v>
                </c:pt>
                <c:pt idx="97">
                  <c:v>rt98</c:v>
                </c:pt>
                <c:pt idx="98">
                  <c:v>rt99</c:v>
                </c:pt>
                <c:pt idx="99">
                  <c:v>rt100</c:v>
                </c:pt>
              </c:strCache>
            </c:strRef>
          </c:cat>
          <c:val>
            <c:numRef>
              <c:f>'Interest Rate Simulation'!$J$115:$J$214</c:f>
              <c:numCache>
                <c:formatCode>0.00%</c:formatCode>
                <c:ptCount val="100"/>
                <c:pt idx="0">
                  <c:v>2.3671366792252214E-2</c:v>
                </c:pt>
                <c:pt idx="1">
                  <c:v>2.5571897205086933E-2</c:v>
                </c:pt>
                <c:pt idx="2">
                  <c:v>2.1221916722132719E-2</c:v>
                </c:pt>
                <c:pt idx="3">
                  <c:v>2.9136759734978378E-2</c:v>
                </c:pt>
                <c:pt idx="4">
                  <c:v>2.6148843389336599E-2</c:v>
                </c:pt>
                <c:pt idx="5">
                  <c:v>2.4050957305578921E-2</c:v>
                </c:pt>
                <c:pt idx="6">
                  <c:v>2.3635520638461527E-2</c:v>
                </c:pt>
                <c:pt idx="7">
                  <c:v>2.3718084337310368E-2</c:v>
                </c:pt>
                <c:pt idx="8">
                  <c:v>2.228919369270067E-2</c:v>
                </c:pt>
                <c:pt idx="9">
                  <c:v>2.372805750861014E-2</c:v>
                </c:pt>
                <c:pt idx="10">
                  <c:v>2.8046868542882464E-2</c:v>
                </c:pt>
                <c:pt idx="11">
                  <c:v>2.6216514067497705E-2</c:v>
                </c:pt>
                <c:pt idx="12">
                  <c:v>2.8298606542256601E-2</c:v>
                </c:pt>
                <c:pt idx="13">
                  <c:v>2.3762829928623358E-2</c:v>
                </c:pt>
                <c:pt idx="14">
                  <c:v>2.6391860490641905E-2</c:v>
                </c:pt>
                <c:pt idx="15">
                  <c:v>2.3951209396420165E-2</c:v>
                </c:pt>
                <c:pt idx="16">
                  <c:v>2.2055817202097896E-2</c:v>
                </c:pt>
                <c:pt idx="17">
                  <c:v>2.4781495031909524E-2</c:v>
                </c:pt>
                <c:pt idx="18">
                  <c:v>2.2663594931785935E-2</c:v>
                </c:pt>
                <c:pt idx="19">
                  <c:v>2.1149427655251889E-2</c:v>
                </c:pt>
                <c:pt idx="20">
                  <c:v>2.5906306685056876E-2</c:v>
                </c:pt>
                <c:pt idx="21">
                  <c:v>2.7188251443289811E-2</c:v>
                </c:pt>
                <c:pt idx="22">
                  <c:v>2.7208273616351045E-2</c:v>
                </c:pt>
                <c:pt idx="23">
                  <c:v>2.2229909963325495E-2</c:v>
                </c:pt>
                <c:pt idx="24">
                  <c:v>2.3682104007773153E-2</c:v>
                </c:pt>
                <c:pt idx="25">
                  <c:v>2.5592467558814773E-2</c:v>
                </c:pt>
                <c:pt idx="26">
                  <c:v>2.7074142937381637E-2</c:v>
                </c:pt>
                <c:pt idx="27">
                  <c:v>2.8667100578572729E-2</c:v>
                </c:pt>
                <c:pt idx="28">
                  <c:v>2.2825498854104696E-2</c:v>
                </c:pt>
                <c:pt idx="29">
                  <c:v>2.7072452503143156E-2</c:v>
                </c:pt>
                <c:pt idx="30">
                  <c:v>2.5045810297540244E-2</c:v>
                </c:pt>
                <c:pt idx="31">
                  <c:v>2.1405340887010127E-2</c:v>
                </c:pt>
                <c:pt idx="32">
                  <c:v>2.4935111293946783E-2</c:v>
                </c:pt>
                <c:pt idx="33">
                  <c:v>2.603643489651879E-2</c:v>
                </c:pt>
                <c:pt idx="34">
                  <c:v>2.1466614898456176E-2</c:v>
                </c:pt>
                <c:pt idx="35">
                  <c:v>2.4578168896948058E-2</c:v>
                </c:pt>
                <c:pt idx="36">
                  <c:v>2.3996790059665887E-2</c:v>
                </c:pt>
                <c:pt idx="37">
                  <c:v>2.2041793229145304E-2</c:v>
                </c:pt>
                <c:pt idx="38">
                  <c:v>2.7170665064735162E-2</c:v>
                </c:pt>
                <c:pt idx="39">
                  <c:v>2.6736658794767592E-2</c:v>
                </c:pt>
                <c:pt idx="40">
                  <c:v>2.7232200115540676E-2</c:v>
                </c:pt>
                <c:pt idx="41">
                  <c:v>2.2807070081117355E-2</c:v>
                </c:pt>
                <c:pt idx="42">
                  <c:v>2.7653213182867866E-2</c:v>
                </c:pt>
                <c:pt idx="43">
                  <c:v>2.5983565471188835E-2</c:v>
                </c:pt>
                <c:pt idx="44">
                  <c:v>2.6993134081135156E-2</c:v>
                </c:pt>
                <c:pt idx="45">
                  <c:v>2.426086302766611E-2</c:v>
                </c:pt>
                <c:pt idx="46">
                  <c:v>2.5770538108577015E-2</c:v>
                </c:pt>
                <c:pt idx="47">
                  <c:v>2.9287076922597334E-2</c:v>
                </c:pt>
                <c:pt idx="48">
                  <c:v>2.0892141678718956E-2</c:v>
                </c:pt>
                <c:pt idx="49">
                  <c:v>2.7923211511837513E-2</c:v>
                </c:pt>
                <c:pt idx="50">
                  <c:v>2.3374990873144055E-2</c:v>
                </c:pt>
                <c:pt idx="51">
                  <c:v>2.5340585971872769E-2</c:v>
                </c:pt>
                <c:pt idx="52">
                  <c:v>2.7241572923754124E-2</c:v>
                </c:pt>
                <c:pt idx="53">
                  <c:v>2.2402518662028626E-2</c:v>
                </c:pt>
                <c:pt idx="54">
                  <c:v>2.2022479446391859E-2</c:v>
                </c:pt>
                <c:pt idx="55">
                  <c:v>2.3855795348829284E-2</c:v>
                </c:pt>
                <c:pt idx="56">
                  <c:v>2.6144775322638321E-2</c:v>
                </c:pt>
                <c:pt idx="57">
                  <c:v>2.2579807096124612E-2</c:v>
                </c:pt>
                <c:pt idx="58">
                  <c:v>2.6333758596099162E-2</c:v>
                </c:pt>
                <c:pt idx="59">
                  <c:v>2.3785009990072516E-2</c:v>
                </c:pt>
                <c:pt idx="60">
                  <c:v>2.518529649986239E-2</c:v>
                </c:pt>
                <c:pt idx="61">
                  <c:v>2.858080005109281E-2</c:v>
                </c:pt>
                <c:pt idx="62">
                  <c:v>2.2832295707298614E-2</c:v>
                </c:pt>
                <c:pt idx="63">
                  <c:v>2.8162754238952065E-2</c:v>
                </c:pt>
                <c:pt idx="64">
                  <c:v>2.6782456332511476E-2</c:v>
                </c:pt>
                <c:pt idx="65">
                  <c:v>2.4319983724597025E-2</c:v>
                </c:pt>
                <c:pt idx="66">
                  <c:v>2.6027557424173009E-2</c:v>
                </c:pt>
                <c:pt idx="67">
                  <c:v>2.6702309434270394E-2</c:v>
                </c:pt>
                <c:pt idx="68">
                  <c:v>2.4593592880455241E-2</c:v>
                </c:pt>
                <c:pt idx="69">
                  <c:v>2.7678426997283307E-2</c:v>
                </c:pt>
                <c:pt idx="70">
                  <c:v>2.570293817152455E-2</c:v>
                </c:pt>
                <c:pt idx="71">
                  <c:v>2.6659269786125046E-2</c:v>
                </c:pt>
                <c:pt idx="72">
                  <c:v>2.3700219085555637E-2</c:v>
                </c:pt>
                <c:pt idx="73">
                  <c:v>2.9453784773011839E-2</c:v>
                </c:pt>
                <c:pt idx="74">
                  <c:v>2.7105824431047969E-2</c:v>
                </c:pt>
                <c:pt idx="75">
                  <c:v>2.5596582665857577E-2</c:v>
                </c:pt>
                <c:pt idx="76">
                  <c:v>2.5418407577328418E-2</c:v>
                </c:pt>
                <c:pt idx="77">
                  <c:v>2.7896640030380462E-2</c:v>
                </c:pt>
                <c:pt idx="78">
                  <c:v>2.4611374737731218E-2</c:v>
                </c:pt>
                <c:pt idx="79">
                  <c:v>2.1611065546410752E-2</c:v>
                </c:pt>
                <c:pt idx="80">
                  <c:v>2.488078113156765E-2</c:v>
                </c:pt>
                <c:pt idx="81">
                  <c:v>2.4969533196483606E-2</c:v>
                </c:pt>
                <c:pt idx="82">
                  <c:v>2.4787148096812966E-2</c:v>
                </c:pt>
                <c:pt idx="83">
                  <c:v>2.5007126893259474E-2</c:v>
                </c:pt>
                <c:pt idx="84">
                  <c:v>2.3969582826828605E-2</c:v>
                </c:pt>
                <c:pt idx="85">
                  <c:v>2.6129954294588462E-2</c:v>
                </c:pt>
                <c:pt idx="86">
                  <c:v>2.518319679232732E-2</c:v>
                </c:pt>
                <c:pt idx="87">
                  <c:v>2.7302027396308229E-2</c:v>
                </c:pt>
                <c:pt idx="88">
                  <c:v>2.5984195419738936E-2</c:v>
                </c:pt>
                <c:pt idx="89">
                  <c:v>2.1629413722077686E-2</c:v>
                </c:pt>
                <c:pt idx="90">
                  <c:v>2.2950230554882003E-2</c:v>
                </c:pt>
                <c:pt idx="91">
                  <c:v>2.2037371674969313E-2</c:v>
                </c:pt>
                <c:pt idx="92">
                  <c:v>2.4768101388920435E-2</c:v>
                </c:pt>
                <c:pt idx="93">
                  <c:v>2.6708267434935914E-2</c:v>
                </c:pt>
                <c:pt idx="94">
                  <c:v>2.2863514415847462E-2</c:v>
                </c:pt>
                <c:pt idx="95">
                  <c:v>2.8306387439883268E-2</c:v>
                </c:pt>
                <c:pt idx="96">
                  <c:v>2.4394273106638026E-2</c:v>
                </c:pt>
                <c:pt idx="97">
                  <c:v>3.0163224307143299E-2</c:v>
                </c:pt>
                <c:pt idx="98">
                  <c:v>2.4369751756451733E-2</c:v>
                </c:pt>
                <c:pt idx="99">
                  <c:v>2.6497409773352468E-2</c:v>
                </c:pt>
              </c:numCache>
            </c:numRef>
          </c:val>
        </c:ser>
        <c:ser>
          <c:idx val="9"/>
          <c:order val="9"/>
          <c:cat>
            <c:strRef>
              <c:f>'Interest Rate Simulation'!$A$115:$A$214</c:f>
              <c:strCache>
                <c:ptCount val="100"/>
                <c:pt idx="0">
                  <c:v>rt1</c:v>
                </c:pt>
                <c:pt idx="1">
                  <c:v>rt2</c:v>
                </c:pt>
                <c:pt idx="2">
                  <c:v>rt3</c:v>
                </c:pt>
                <c:pt idx="3">
                  <c:v>rt4</c:v>
                </c:pt>
                <c:pt idx="4">
                  <c:v>rt5</c:v>
                </c:pt>
                <c:pt idx="5">
                  <c:v>rt6</c:v>
                </c:pt>
                <c:pt idx="6">
                  <c:v>rt7</c:v>
                </c:pt>
                <c:pt idx="7">
                  <c:v>rt8</c:v>
                </c:pt>
                <c:pt idx="8">
                  <c:v>rt9</c:v>
                </c:pt>
                <c:pt idx="9">
                  <c:v>rt10</c:v>
                </c:pt>
                <c:pt idx="10">
                  <c:v>rt11</c:v>
                </c:pt>
                <c:pt idx="11">
                  <c:v>rt12</c:v>
                </c:pt>
                <c:pt idx="12">
                  <c:v>rt13</c:v>
                </c:pt>
                <c:pt idx="13">
                  <c:v>rt14</c:v>
                </c:pt>
                <c:pt idx="14">
                  <c:v>rt15</c:v>
                </c:pt>
                <c:pt idx="15">
                  <c:v>rt16</c:v>
                </c:pt>
                <c:pt idx="16">
                  <c:v>rt17</c:v>
                </c:pt>
                <c:pt idx="17">
                  <c:v>rt18</c:v>
                </c:pt>
                <c:pt idx="18">
                  <c:v>rt19</c:v>
                </c:pt>
                <c:pt idx="19">
                  <c:v>rt20</c:v>
                </c:pt>
                <c:pt idx="20">
                  <c:v>rt21</c:v>
                </c:pt>
                <c:pt idx="21">
                  <c:v>rt22</c:v>
                </c:pt>
                <c:pt idx="22">
                  <c:v>rt23</c:v>
                </c:pt>
                <c:pt idx="23">
                  <c:v>rt24</c:v>
                </c:pt>
                <c:pt idx="24">
                  <c:v>rt25</c:v>
                </c:pt>
                <c:pt idx="25">
                  <c:v>rt26</c:v>
                </c:pt>
                <c:pt idx="26">
                  <c:v>rt27</c:v>
                </c:pt>
                <c:pt idx="27">
                  <c:v>rt28</c:v>
                </c:pt>
                <c:pt idx="28">
                  <c:v>rt29</c:v>
                </c:pt>
                <c:pt idx="29">
                  <c:v>rt30</c:v>
                </c:pt>
                <c:pt idx="30">
                  <c:v>rt31</c:v>
                </c:pt>
                <c:pt idx="31">
                  <c:v>rt32</c:v>
                </c:pt>
                <c:pt idx="32">
                  <c:v>rt33</c:v>
                </c:pt>
                <c:pt idx="33">
                  <c:v>rt34</c:v>
                </c:pt>
                <c:pt idx="34">
                  <c:v>rt35</c:v>
                </c:pt>
                <c:pt idx="35">
                  <c:v>rt36</c:v>
                </c:pt>
                <c:pt idx="36">
                  <c:v>rt37</c:v>
                </c:pt>
                <c:pt idx="37">
                  <c:v>rt38</c:v>
                </c:pt>
                <c:pt idx="38">
                  <c:v>rt39</c:v>
                </c:pt>
                <c:pt idx="39">
                  <c:v>rt40</c:v>
                </c:pt>
                <c:pt idx="40">
                  <c:v>rt41</c:v>
                </c:pt>
                <c:pt idx="41">
                  <c:v>rt42</c:v>
                </c:pt>
                <c:pt idx="42">
                  <c:v>rt43</c:v>
                </c:pt>
                <c:pt idx="43">
                  <c:v>rt44</c:v>
                </c:pt>
                <c:pt idx="44">
                  <c:v>rt45</c:v>
                </c:pt>
                <c:pt idx="45">
                  <c:v>rt46</c:v>
                </c:pt>
                <c:pt idx="46">
                  <c:v>rt47</c:v>
                </c:pt>
                <c:pt idx="47">
                  <c:v>rt48</c:v>
                </c:pt>
                <c:pt idx="48">
                  <c:v>rt49</c:v>
                </c:pt>
                <c:pt idx="49">
                  <c:v>rt50</c:v>
                </c:pt>
                <c:pt idx="50">
                  <c:v>rt51</c:v>
                </c:pt>
                <c:pt idx="51">
                  <c:v>rt52</c:v>
                </c:pt>
                <c:pt idx="52">
                  <c:v>rt53</c:v>
                </c:pt>
                <c:pt idx="53">
                  <c:v>rt54</c:v>
                </c:pt>
                <c:pt idx="54">
                  <c:v>rt55</c:v>
                </c:pt>
                <c:pt idx="55">
                  <c:v>rt56</c:v>
                </c:pt>
                <c:pt idx="56">
                  <c:v>rt57</c:v>
                </c:pt>
                <c:pt idx="57">
                  <c:v>rt58</c:v>
                </c:pt>
                <c:pt idx="58">
                  <c:v>rt59</c:v>
                </c:pt>
                <c:pt idx="59">
                  <c:v>rt60</c:v>
                </c:pt>
                <c:pt idx="60">
                  <c:v>rt61</c:v>
                </c:pt>
                <c:pt idx="61">
                  <c:v>rt62</c:v>
                </c:pt>
                <c:pt idx="62">
                  <c:v>rt63</c:v>
                </c:pt>
                <c:pt idx="63">
                  <c:v>rt64</c:v>
                </c:pt>
                <c:pt idx="64">
                  <c:v>rt65</c:v>
                </c:pt>
                <c:pt idx="65">
                  <c:v>rt66</c:v>
                </c:pt>
                <c:pt idx="66">
                  <c:v>rt67</c:v>
                </c:pt>
                <c:pt idx="67">
                  <c:v>rt68</c:v>
                </c:pt>
                <c:pt idx="68">
                  <c:v>rt69</c:v>
                </c:pt>
                <c:pt idx="69">
                  <c:v>rt70</c:v>
                </c:pt>
                <c:pt idx="70">
                  <c:v>rt71</c:v>
                </c:pt>
                <c:pt idx="71">
                  <c:v>rt72</c:v>
                </c:pt>
                <c:pt idx="72">
                  <c:v>rt73</c:v>
                </c:pt>
                <c:pt idx="73">
                  <c:v>rt74</c:v>
                </c:pt>
                <c:pt idx="74">
                  <c:v>rt75</c:v>
                </c:pt>
                <c:pt idx="75">
                  <c:v>rt76</c:v>
                </c:pt>
                <c:pt idx="76">
                  <c:v>rt77</c:v>
                </c:pt>
                <c:pt idx="77">
                  <c:v>rt78</c:v>
                </c:pt>
                <c:pt idx="78">
                  <c:v>rt79</c:v>
                </c:pt>
                <c:pt idx="79">
                  <c:v>rt80</c:v>
                </c:pt>
                <c:pt idx="80">
                  <c:v>rt81</c:v>
                </c:pt>
                <c:pt idx="81">
                  <c:v>rt82</c:v>
                </c:pt>
                <c:pt idx="82">
                  <c:v>rt83</c:v>
                </c:pt>
                <c:pt idx="83">
                  <c:v>rt84</c:v>
                </c:pt>
                <c:pt idx="84">
                  <c:v>rt85</c:v>
                </c:pt>
                <c:pt idx="85">
                  <c:v>rt86</c:v>
                </c:pt>
                <c:pt idx="86">
                  <c:v>rt87</c:v>
                </c:pt>
                <c:pt idx="87">
                  <c:v>rt88</c:v>
                </c:pt>
                <c:pt idx="88">
                  <c:v>rt89</c:v>
                </c:pt>
                <c:pt idx="89">
                  <c:v>rt90</c:v>
                </c:pt>
                <c:pt idx="90">
                  <c:v>rt91</c:v>
                </c:pt>
                <c:pt idx="91">
                  <c:v>rt92</c:v>
                </c:pt>
                <c:pt idx="92">
                  <c:v>rt93</c:v>
                </c:pt>
                <c:pt idx="93">
                  <c:v>rt94</c:v>
                </c:pt>
                <c:pt idx="94">
                  <c:v>rt95</c:v>
                </c:pt>
                <c:pt idx="95">
                  <c:v>rt96</c:v>
                </c:pt>
                <c:pt idx="96">
                  <c:v>rt97</c:v>
                </c:pt>
                <c:pt idx="97">
                  <c:v>rt98</c:v>
                </c:pt>
                <c:pt idx="98">
                  <c:v>rt99</c:v>
                </c:pt>
                <c:pt idx="99">
                  <c:v>rt100</c:v>
                </c:pt>
              </c:strCache>
            </c:strRef>
          </c:cat>
          <c:val>
            <c:numRef>
              <c:f>'Interest Rate Simulation'!$K$115:$K$214</c:f>
              <c:numCache>
                <c:formatCode>0.00%</c:formatCode>
                <c:ptCount val="100"/>
                <c:pt idx="0">
                  <c:v>2.5144075668733046E-2</c:v>
                </c:pt>
                <c:pt idx="1">
                  <c:v>2.5421905544502906E-2</c:v>
                </c:pt>
                <c:pt idx="2">
                  <c:v>2.1381099802786647E-2</c:v>
                </c:pt>
                <c:pt idx="3">
                  <c:v>2.7608381045273689E-2</c:v>
                </c:pt>
                <c:pt idx="4">
                  <c:v>2.6330563956499867E-2</c:v>
                </c:pt>
                <c:pt idx="5">
                  <c:v>2.4157645608292373E-2</c:v>
                </c:pt>
                <c:pt idx="6">
                  <c:v>2.2687992652236394E-2</c:v>
                </c:pt>
                <c:pt idx="7">
                  <c:v>2.2660440536688441E-2</c:v>
                </c:pt>
                <c:pt idx="8">
                  <c:v>2.1339369337669379E-2</c:v>
                </c:pt>
                <c:pt idx="9">
                  <c:v>2.3783477017977624E-2</c:v>
                </c:pt>
                <c:pt idx="10">
                  <c:v>2.7647374442084278E-2</c:v>
                </c:pt>
                <c:pt idx="11">
                  <c:v>2.5968316963216682E-2</c:v>
                </c:pt>
                <c:pt idx="12">
                  <c:v>2.9551911921796157E-2</c:v>
                </c:pt>
                <c:pt idx="13">
                  <c:v>2.4054045051166359E-2</c:v>
                </c:pt>
                <c:pt idx="14">
                  <c:v>2.5451863730905858E-2</c:v>
                </c:pt>
                <c:pt idx="15">
                  <c:v>2.4819204649369066E-2</c:v>
                </c:pt>
                <c:pt idx="16">
                  <c:v>2.0933694064167781E-2</c:v>
                </c:pt>
                <c:pt idx="17">
                  <c:v>2.4835299830170594E-2</c:v>
                </c:pt>
                <c:pt idx="18">
                  <c:v>2.2083227091828056E-2</c:v>
                </c:pt>
                <c:pt idx="19">
                  <c:v>2.1490573701768871E-2</c:v>
                </c:pt>
                <c:pt idx="20">
                  <c:v>2.5103169004707628E-2</c:v>
                </c:pt>
                <c:pt idx="21">
                  <c:v>2.6946092281048235E-2</c:v>
                </c:pt>
                <c:pt idx="22">
                  <c:v>2.5549406544388698E-2</c:v>
                </c:pt>
                <c:pt idx="23">
                  <c:v>2.2837462534223096E-2</c:v>
                </c:pt>
                <c:pt idx="24">
                  <c:v>2.2267484675838615E-2</c:v>
                </c:pt>
                <c:pt idx="25">
                  <c:v>2.6000462113287885E-2</c:v>
                </c:pt>
                <c:pt idx="26">
                  <c:v>2.6121959866992867E-2</c:v>
                </c:pt>
                <c:pt idx="27">
                  <c:v>2.8532954131941134E-2</c:v>
                </c:pt>
                <c:pt idx="28">
                  <c:v>2.3220082820075129E-2</c:v>
                </c:pt>
                <c:pt idx="29">
                  <c:v>2.6932296118367526E-2</c:v>
                </c:pt>
                <c:pt idx="30">
                  <c:v>2.484956843528386E-2</c:v>
                </c:pt>
                <c:pt idx="31">
                  <c:v>2.2252739232154661E-2</c:v>
                </c:pt>
                <c:pt idx="32">
                  <c:v>2.5846054014905251E-2</c:v>
                </c:pt>
                <c:pt idx="33">
                  <c:v>2.5815275322941672E-2</c:v>
                </c:pt>
                <c:pt idx="34">
                  <c:v>2.1119585639605382E-2</c:v>
                </c:pt>
                <c:pt idx="35">
                  <c:v>2.5326394529560335E-2</c:v>
                </c:pt>
                <c:pt idx="36">
                  <c:v>2.3442441834701979E-2</c:v>
                </c:pt>
                <c:pt idx="37">
                  <c:v>2.2959321050643758E-2</c:v>
                </c:pt>
                <c:pt idx="38">
                  <c:v>2.6818719166784018E-2</c:v>
                </c:pt>
                <c:pt idx="39">
                  <c:v>2.7421000813594856E-2</c:v>
                </c:pt>
                <c:pt idx="40">
                  <c:v>2.8266833447397194E-2</c:v>
                </c:pt>
                <c:pt idx="41">
                  <c:v>2.2684959799817415E-2</c:v>
                </c:pt>
                <c:pt idx="42">
                  <c:v>2.7583774955633949E-2</c:v>
                </c:pt>
                <c:pt idx="43">
                  <c:v>2.6868775248649723E-2</c:v>
                </c:pt>
                <c:pt idx="44">
                  <c:v>2.6055469704633172E-2</c:v>
                </c:pt>
                <c:pt idx="45">
                  <c:v>2.4181604888778633E-2</c:v>
                </c:pt>
                <c:pt idx="46">
                  <c:v>2.6862932403435943E-2</c:v>
                </c:pt>
                <c:pt idx="47">
                  <c:v>2.9185145007116768E-2</c:v>
                </c:pt>
                <c:pt idx="48">
                  <c:v>2.018311500783096E-2</c:v>
                </c:pt>
                <c:pt idx="49">
                  <c:v>2.7907102440889835E-2</c:v>
                </c:pt>
                <c:pt idx="50">
                  <c:v>2.3438203598158461E-2</c:v>
                </c:pt>
                <c:pt idx="51">
                  <c:v>2.5332601096107511E-2</c:v>
                </c:pt>
                <c:pt idx="52">
                  <c:v>2.8219061617507715E-2</c:v>
                </c:pt>
                <c:pt idx="53">
                  <c:v>2.2225903901544036E-2</c:v>
                </c:pt>
                <c:pt idx="54">
                  <c:v>2.1629796921028916E-2</c:v>
                </c:pt>
                <c:pt idx="55">
                  <c:v>2.4493077032867079E-2</c:v>
                </c:pt>
                <c:pt idx="56">
                  <c:v>2.5802160353004148E-2</c:v>
                </c:pt>
                <c:pt idx="57">
                  <c:v>2.3241341629948366E-2</c:v>
                </c:pt>
                <c:pt idx="58">
                  <c:v>2.646814291231157E-2</c:v>
                </c:pt>
                <c:pt idx="59">
                  <c:v>2.218019618841641E-2</c:v>
                </c:pt>
                <c:pt idx="60">
                  <c:v>2.4516901984756794E-2</c:v>
                </c:pt>
                <c:pt idx="61">
                  <c:v>2.7934162508863176E-2</c:v>
                </c:pt>
                <c:pt idx="62">
                  <c:v>2.332399928185315E-2</c:v>
                </c:pt>
                <c:pt idx="63">
                  <c:v>2.8571419408622272E-2</c:v>
                </c:pt>
                <c:pt idx="64">
                  <c:v>2.6407466690636087E-2</c:v>
                </c:pt>
                <c:pt idx="65">
                  <c:v>2.4692549744591182E-2</c:v>
                </c:pt>
                <c:pt idx="66">
                  <c:v>2.640510379919063E-2</c:v>
                </c:pt>
                <c:pt idx="67">
                  <c:v>2.5738665271784159E-2</c:v>
                </c:pt>
                <c:pt idx="68">
                  <c:v>2.4409110479558488E-2</c:v>
                </c:pt>
                <c:pt idx="69">
                  <c:v>2.7132674067241298E-2</c:v>
                </c:pt>
                <c:pt idx="70">
                  <c:v>2.5491405057997685E-2</c:v>
                </c:pt>
                <c:pt idx="71">
                  <c:v>2.5560623534274619E-2</c:v>
                </c:pt>
                <c:pt idx="72">
                  <c:v>2.1739551973833791E-2</c:v>
                </c:pt>
                <c:pt idx="73">
                  <c:v>2.9267381937222805E-2</c:v>
                </c:pt>
                <c:pt idx="74">
                  <c:v>2.7197471611361858E-2</c:v>
                </c:pt>
                <c:pt idx="75">
                  <c:v>2.5482806221680445E-2</c:v>
                </c:pt>
                <c:pt idx="76">
                  <c:v>2.7163740270810036E-2</c:v>
                </c:pt>
                <c:pt idx="77">
                  <c:v>2.7207982367504577E-2</c:v>
                </c:pt>
                <c:pt idx="78">
                  <c:v>2.3695902667188306E-2</c:v>
                </c:pt>
                <c:pt idx="79">
                  <c:v>2.1992983149658966E-2</c:v>
                </c:pt>
                <c:pt idx="80">
                  <c:v>2.4643572483948096E-2</c:v>
                </c:pt>
                <c:pt idx="81">
                  <c:v>2.6784595401615999E-2</c:v>
                </c:pt>
                <c:pt idx="82">
                  <c:v>2.4828974746701812E-2</c:v>
                </c:pt>
                <c:pt idx="83">
                  <c:v>2.5874701652606205E-2</c:v>
                </c:pt>
                <c:pt idx="84">
                  <c:v>2.4143792835944183E-2</c:v>
                </c:pt>
                <c:pt idx="85">
                  <c:v>2.5707678565433142E-2</c:v>
                </c:pt>
                <c:pt idx="86">
                  <c:v>2.6439787502837438E-2</c:v>
                </c:pt>
                <c:pt idx="87">
                  <c:v>2.7165753898280642E-2</c:v>
                </c:pt>
                <c:pt idx="88">
                  <c:v>2.4184355374013134E-2</c:v>
                </c:pt>
                <c:pt idx="89">
                  <c:v>2.1288989658062377E-2</c:v>
                </c:pt>
                <c:pt idx="90">
                  <c:v>2.361857505190244E-2</c:v>
                </c:pt>
                <c:pt idx="91">
                  <c:v>2.2210540611875964E-2</c:v>
                </c:pt>
                <c:pt idx="92">
                  <c:v>2.3575588750693936E-2</c:v>
                </c:pt>
                <c:pt idx="93">
                  <c:v>2.7279380046304223E-2</c:v>
                </c:pt>
                <c:pt idx="94">
                  <c:v>2.3148934274568867E-2</c:v>
                </c:pt>
                <c:pt idx="95">
                  <c:v>2.7344665111866496E-2</c:v>
                </c:pt>
                <c:pt idx="96">
                  <c:v>2.4228366910611442E-2</c:v>
                </c:pt>
                <c:pt idx="97">
                  <c:v>3.0250087000975995E-2</c:v>
                </c:pt>
                <c:pt idx="98">
                  <c:v>2.5741568011915499E-2</c:v>
                </c:pt>
                <c:pt idx="99">
                  <c:v>2.7589896489082461E-2</c:v>
                </c:pt>
              </c:numCache>
            </c:numRef>
          </c:val>
        </c:ser>
        <c:ser>
          <c:idx val="10"/>
          <c:order val="10"/>
          <c:cat>
            <c:strRef>
              <c:f>'Interest Rate Simulation'!$A$115:$A$214</c:f>
              <c:strCache>
                <c:ptCount val="100"/>
                <c:pt idx="0">
                  <c:v>rt1</c:v>
                </c:pt>
                <c:pt idx="1">
                  <c:v>rt2</c:v>
                </c:pt>
                <c:pt idx="2">
                  <c:v>rt3</c:v>
                </c:pt>
                <c:pt idx="3">
                  <c:v>rt4</c:v>
                </c:pt>
                <c:pt idx="4">
                  <c:v>rt5</c:v>
                </c:pt>
                <c:pt idx="5">
                  <c:v>rt6</c:v>
                </c:pt>
                <c:pt idx="6">
                  <c:v>rt7</c:v>
                </c:pt>
                <c:pt idx="7">
                  <c:v>rt8</c:v>
                </c:pt>
                <c:pt idx="8">
                  <c:v>rt9</c:v>
                </c:pt>
                <c:pt idx="9">
                  <c:v>rt10</c:v>
                </c:pt>
                <c:pt idx="10">
                  <c:v>rt11</c:v>
                </c:pt>
                <c:pt idx="11">
                  <c:v>rt12</c:v>
                </c:pt>
                <c:pt idx="12">
                  <c:v>rt13</c:v>
                </c:pt>
                <c:pt idx="13">
                  <c:v>rt14</c:v>
                </c:pt>
                <c:pt idx="14">
                  <c:v>rt15</c:v>
                </c:pt>
                <c:pt idx="15">
                  <c:v>rt16</c:v>
                </c:pt>
                <c:pt idx="16">
                  <c:v>rt17</c:v>
                </c:pt>
                <c:pt idx="17">
                  <c:v>rt18</c:v>
                </c:pt>
                <c:pt idx="18">
                  <c:v>rt19</c:v>
                </c:pt>
                <c:pt idx="19">
                  <c:v>rt20</c:v>
                </c:pt>
                <c:pt idx="20">
                  <c:v>rt21</c:v>
                </c:pt>
                <c:pt idx="21">
                  <c:v>rt22</c:v>
                </c:pt>
                <c:pt idx="22">
                  <c:v>rt23</c:v>
                </c:pt>
                <c:pt idx="23">
                  <c:v>rt24</c:v>
                </c:pt>
                <c:pt idx="24">
                  <c:v>rt25</c:v>
                </c:pt>
                <c:pt idx="25">
                  <c:v>rt26</c:v>
                </c:pt>
                <c:pt idx="26">
                  <c:v>rt27</c:v>
                </c:pt>
                <c:pt idx="27">
                  <c:v>rt28</c:v>
                </c:pt>
                <c:pt idx="28">
                  <c:v>rt29</c:v>
                </c:pt>
                <c:pt idx="29">
                  <c:v>rt30</c:v>
                </c:pt>
                <c:pt idx="30">
                  <c:v>rt31</c:v>
                </c:pt>
                <c:pt idx="31">
                  <c:v>rt32</c:v>
                </c:pt>
                <c:pt idx="32">
                  <c:v>rt33</c:v>
                </c:pt>
                <c:pt idx="33">
                  <c:v>rt34</c:v>
                </c:pt>
                <c:pt idx="34">
                  <c:v>rt35</c:v>
                </c:pt>
                <c:pt idx="35">
                  <c:v>rt36</c:v>
                </c:pt>
                <c:pt idx="36">
                  <c:v>rt37</c:v>
                </c:pt>
                <c:pt idx="37">
                  <c:v>rt38</c:v>
                </c:pt>
                <c:pt idx="38">
                  <c:v>rt39</c:v>
                </c:pt>
                <c:pt idx="39">
                  <c:v>rt40</c:v>
                </c:pt>
                <c:pt idx="40">
                  <c:v>rt41</c:v>
                </c:pt>
                <c:pt idx="41">
                  <c:v>rt42</c:v>
                </c:pt>
                <c:pt idx="42">
                  <c:v>rt43</c:v>
                </c:pt>
                <c:pt idx="43">
                  <c:v>rt44</c:v>
                </c:pt>
                <c:pt idx="44">
                  <c:v>rt45</c:v>
                </c:pt>
                <c:pt idx="45">
                  <c:v>rt46</c:v>
                </c:pt>
                <c:pt idx="46">
                  <c:v>rt47</c:v>
                </c:pt>
                <c:pt idx="47">
                  <c:v>rt48</c:v>
                </c:pt>
                <c:pt idx="48">
                  <c:v>rt49</c:v>
                </c:pt>
                <c:pt idx="49">
                  <c:v>rt50</c:v>
                </c:pt>
                <c:pt idx="50">
                  <c:v>rt51</c:v>
                </c:pt>
                <c:pt idx="51">
                  <c:v>rt52</c:v>
                </c:pt>
                <c:pt idx="52">
                  <c:v>rt53</c:v>
                </c:pt>
                <c:pt idx="53">
                  <c:v>rt54</c:v>
                </c:pt>
                <c:pt idx="54">
                  <c:v>rt55</c:v>
                </c:pt>
                <c:pt idx="55">
                  <c:v>rt56</c:v>
                </c:pt>
                <c:pt idx="56">
                  <c:v>rt57</c:v>
                </c:pt>
                <c:pt idx="57">
                  <c:v>rt58</c:v>
                </c:pt>
                <c:pt idx="58">
                  <c:v>rt59</c:v>
                </c:pt>
                <c:pt idx="59">
                  <c:v>rt60</c:v>
                </c:pt>
                <c:pt idx="60">
                  <c:v>rt61</c:v>
                </c:pt>
                <c:pt idx="61">
                  <c:v>rt62</c:v>
                </c:pt>
                <c:pt idx="62">
                  <c:v>rt63</c:v>
                </c:pt>
                <c:pt idx="63">
                  <c:v>rt64</c:v>
                </c:pt>
                <c:pt idx="64">
                  <c:v>rt65</c:v>
                </c:pt>
                <c:pt idx="65">
                  <c:v>rt66</c:v>
                </c:pt>
                <c:pt idx="66">
                  <c:v>rt67</c:v>
                </c:pt>
                <c:pt idx="67">
                  <c:v>rt68</c:v>
                </c:pt>
                <c:pt idx="68">
                  <c:v>rt69</c:v>
                </c:pt>
                <c:pt idx="69">
                  <c:v>rt70</c:v>
                </c:pt>
                <c:pt idx="70">
                  <c:v>rt71</c:v>
                </c:pt>
                <c:pt idx="71">
                  <c:v>rt72</c:v>
                </c:pt>
                <c:pt idx="72">
                  <c:v>rt73</c:v>
                </c:pt>
                <c:pt idx="73">
                  <c:v>rt74</c:v>
                </c:pt>
                <c:pt idx="74">
                  <c:v>rt75</c:v>
                </c:pt>
                <c:pt idx="75">
                  <c:v>rt76</c:v>
                </c:pt>
                <c:pt idx="76">
                  <c:v>rt77</c:v>
                </c:pt>
                <c:pt idx="77">
                  <c:v>rt78</c:v>
                </c:pt>
                <c:pt idx="78">
                  <c:v>rt79</c:v>
                </c:pt>
                <c:pt idx="79">
                  <c:v>rt80</c:v>
                </c:pt>
                <c:pt idx="80">
                  <c:v>rt81</c:v>
                </c:pt>
                <c:pt idx="81">
                  <c:v>rt82</c:v>
                </c:pt>
                <c:pt idx="82">
                  <c:v>rt83</c:v>
                </c:pt>
                <c:pt idx="83">
                  <c:v>rt84</c:v>
                </c:pt>
                <c:pt idx="84">
                  <c:v>rt85</c:v>
                </c:pt>
                <c:pt idx="85">
                  <c:v>rt86</c:v>
                </c:pt>
                <c:pt idx="86">
                  <c:v>rt87</c:v>
                </c:pt>
                <c:pt idx="87">
                  <c:v>rt88</c:v>
                </c:pt>
                <c:pt idx="88">
                  <c:v>rt89</c:v>
                </c:pt>
                <c:pt idx="89">
                  <c:v>rt90</c:v>
                </c:pt>
                <c:pt idx="90">
                  <c:v>rt91</c:v>
                </c:pt>
                <c:pt idx="91">
                  <c:v>rt92</c:v>
                </c:pt>
                <c:pt idx="92">
                  <c:v>rt93</c:v>
                </c:pt>
                <c:pt idx="93">
                  <c:v>rt94</c:v>
                </c:pt>
                <c:pt idx="94">
                  <c:v>rt95</c:v>
                </c:pt>
                <c:pt idx="95">
                  <c:v>rt96</c:v>
                </c:pt>
                <c:pt idx="96">
                  <c:v>rt97</c:v>
                </c:pt>
                <c:pt idx="97">
                  <c:v>rt98</c:v>
                </c:pt>
                <c:pt idx="98">
                  <c:v>rt99</c:v>
                </c:pt>
                <c:pt idx="99">
                  <c:v>rt100</c:v>
                </c:pt>
              </c:strCache>
            </c:strRef>
          </c:cat>
          <c:val>
            <c:numRef>
              <c:f>'Interest Rate Simulation'!$L$115:$L$214</c:f>
              <c:numCache>
                <c:formatCode>0.00%</c:formatCode>
                <c:ptCount val="100"/>
                <c:pt idx="0">
                  <c:v>2.4052228022982299E-2</c:v>
                </c:pt>
                <c:pt idx="1">
                  <c:v>2.4382747182060904E-2</c:v>
                </c:pt>
                <c:pt idx="2">
                  <c:v>2.1369776416112329E-2</c:v>
                </c:pt>
                <c:pt idx="3">
                  <c:v>2.7683477927187623E-2</c:v>
                </c:pt>
                <c:pt idx="4">
                  <c:v>2.702817146491375E-2</c:v>
                </c:pt>
                <c:pt idx="5">
                  <c:v>2.3701743863740705E-2</c:v>
                </c:pt>
                <c:pt idx="6">
                  <c:v>2.1557593898631228E-2</c:v>
                </c:pt>
                <c:pt idx="7">
                  <c:v>2.2369736410309912E-2</c:v>
                </c:pt>
                <c:pt idx="8">
                  <c:v>2.0635604679096777E-2</c:v>
                </c:pt>
                <c:pt idx="9">
                  <c:v>2.2998565582079751E-2</c:v>
                </c:pt>
                <c:pt idx="10">
                  <c:v>2.7687307762626227E-2</c:v>
                </c:pt>
                <c:pt idx="11">
                  <c:v>2.5943681404639009E-2</c:v>
                </c:pt>
                <c:pt idx="12">
                  <c:v>3.0118812274579639E-2</c:v>
                </c:pt>
                <c:pt idx="13">
                  <c:v>2.3481205035913669E-2</c:v>
                </c:pt>
                <c:pt idx="14">
                  <c:v>2.6757490722850517E-2</c:v>
                </c:pt>
                <c:pt idx="15">
                  <c:v>2.4574776791570621E-2</c:v>
                </c:pt>
                <c:pt idx="16">
                  <c:v>2.1503162927828876E-2</c:v>
                </c:pt>
                <c:pt idx="17">
                  <c:v>2.5118021722971302E-2</c:v>
                </c:pt>
                <c:pt idx="18">
                  <c:v>2.142562653118691E-2</c:v>
                </c:pt>
                <c:pt idx="19">
                  <c:v>2.1542546099858201E-2</c:v>
                </c:pt>
                <c:pt idx="20">
                  <c:v>2.5691362479336174E-2</c:v>
                </c:pt>
                <c:pt idx="21">
                  <c:v>2.717558738613365E-2</c:v>
                </c:pt>
                <c:pt idx="22">
                  <c:v>2.6031417599469659E-2</c:v>
                </c:pt>
                <c:pt idx="23">
                  <c:v>2.3581198739972876E-2</c:v>
                </c:pt>
                <c:pt idx="24">
                  <c:v>2.3034056515855598E-2</c:v>
                </c:pt>
                <c:pt idx="25">
                  <c:v>2.6375888378908294E-2</c:v>
                </c:pt>
                <c:pt idx="26">
                  <c:v>2.5942269946356494E-2</c:v>
                </c:pt>
                <c:pt idx="27">
                  <c:v>2.7821574267777718E-2</c:v>
                </c:pt>
                <c:pt idx="28">
                  <c:v>2.2540878199267492E-2</c:v>
                </c:pt>
                <c:pt idx="29">
                  <c:v>2.6624440507216001E-2</c:v>
                </c:pt>
                <c:pt idx="30">
                  <c:v>2.4473975273892574E-2</c:v>
                </c:pt>
                <c:pt idx="31">
                  <c:v>2.2796685629938071E-2</c:v>
                </c:pt>
                <c:pt idx="32">
                  <c:v>2.6446845213463452E-2</c:v>
                </c:pt>
                <c:pt idx="33">
                  <c:v>2.6113885958697805E-2</c:v>
                </c:pt>
                <c:pt idx="34">
                  <c:v>2.1925760053755593E-2</c:v>
                </c:pt>
                <c:pt idx="35">
                  <c:v>2.4798237684170592E-2</c:v>
                </c:pt>
                <c:pt idx="36">
                  <c:v>2.2824617204852602E-2</c:v>
                </c:pt>
                <c:pt idx="37">
                  <c:v>2.2752093579883354E-2</c:v>
                </c:pt>
                <c:pt idx="38">
                  <c:v>2.7518894619768995E-2</c:v>
                </c:pt>
                <c:pt idx="39">
                  <c:v>2.7302778004688017E-2</c:v>
                </c:pt>
                <c:pt idx="40">
                  <c:v>2.7420059219890994E-2</c:v>
                </c:pt>
                <c:pt idx="41">
                  <c:v>2.2436266136372021E-2</c:v>
                </c:pt>
                <c:pt idx="42">
                  <c:v>2.7483531299641428E-2</c:v>
                </c:pt>
                <c:pt idx="43">
                  <c:v>2.7294822735554964E-2</c:v>
                </c:pt>
                <c:pt idx="44">
                  <c:v>2.5858118244788231E-2</c:v>
                </c:pt>
                <c:pt idx="45">
                  <c:v>2.4490988231646745E-2</c:v>
                </c:pt>
                <c:pt idx="46">
                  <c:v>2.6610436803393339E-2</c:v>
                </c:pt>
                <c:pt idx="47">
                  <c:v>2.8776057139053794E-2</c:v>
                </c:pt>
                <c:pt idx="48">
                  <c:v>2.0991879288908936E-2</c:v>
                </c:pt>
                <c:pt idx="49">
                  <c:v>2.7772907322763808E-2</c:v>
                </c:pt>
                <c:pt idx="50">
                  <c:v>2.2703173261043531E-2</c:v>
                </c:pt>
                <c:pt idx="51">
                  <c:v>2.5349677732494347E-2</c:v>
                </c:pt>
                <c:pt idx="52">
                  <c:v>2.7583110443065873E-2</c:v>
                </c:pt>
                <c:pt idx="53">
                  <c:v>2.1832284193089534E-2</c:v>
                </c:pt>
                <c:pt idx="54">
                  <c:v>2.0761824610011765E-2</c:v>
                </c:pt>
                <c:pt idx="55">
                  <c:v>2.3603339536776392E-2</c:v>
                </c:pt>
                <c:pt idx="56">
                  <c:v>2.6242294803512287E-2</c:v>
                </c:pt>
                <c:pt idx="57">
                  <c:v>2.4228395830166286E-2</c:v>
                </c:pt>
                <c:pt idx="58">
                  <c:v>2.5938646475511803E-2</c:v>
                </c:pt>
                <c:pt idx="59">
                  <c:v>2.1021021373692432E-2</c:v>
                </c:pt>
                <c:pt idx="60">
                  <c:v>2.3868886185735912E-2</c:v>
                </c:pt>
                <c:pt idx="61">
                  <c:v>2.7534090655076584E-2</c:v>
                </c:pt>
                <c:pt idx="62">
                  <c:v>2.3288652012871103E-2</c:v>
                </c:pt>
                <c:pt idx="63">
                  <c:v>2.9695143630469597E-2</c:v>
                </c:pt>
                <c:pt idx="64">
                  <c:v>2.6741472642928574E-2</c:v>
                </c:pt>
                <c:pt idx="65">
                  <c:v>2.3518514960892641E-2</c:v>
                </c:pt>
                <c:pt idx="66">
                  <c:v>2.6456035357444434E-2</c:v>
                </c:pt>
                <c:pt idx="67">
                  <c:v>2.6183589823085367E-2</c:v>
                </c:pt>
                <c:pt idx="68">
                  <c:v>2.3761121773337272E-2</c:v>
                </c:pt>
                <c:pt idx="69">
                  <c:v>2.6667447100600466E-2</c:v>
                </c:pt>
                <c:pt idx="70">
                  <c:v>2.5797761550505362E-2</c:v>
                </c:pt>
                <c:pt idx="71">
                  <c:v>2.5086617033592596E-2</c:v>
                </c:pt>
                <c:pt idx="72">
                  <c:v>2.11066892354147E-2</c:v>
                </c:pt>
                <c:pt idx="73">
                  <c:v>2.9918251329694057E-2</c:v>
                </c:pt>
                <c:pt idx="74">
                  <c:v>2.7028726456528582E-2</c:v>
                </c:pt>
                <c:pt idx="75">
                  <c:v>2.4754824045398818E-2</c:v>
                </c:pt>
                <c:pt idx="76">
                  <c:v>2.810094477778035E-2</c:v>
                </c:pt>
                <c:pt idx="77">
                  <c:v>2.695951151215464E-2</c:v>
                </c:pt>
                <c:pt idx="78">
                  <c:v>2.4070255345003681E-2</c:v>
                </c:pt>
                <c:pt idx="79">
                  <c:v>2.174078378983579E-2</c:v>
                </c:pt>
                <c:pt idx="80">
                  <c:v>2.4406090930507923E-2</c:v>
                </c:pt>
                <c:pt idx="81">
                  <c:v>2.7153155098798339E-2</c:v>
                </c:pt>
                <c:pt idx="82">
                  <c:v>2.3740175858109388E-2</c:v>
                </c:pt>
                <c:pt idx="83">
                  <c:v>2.5789803040033241E-2</c:v>
                </c:pt>
                <c:pt idx="84">
                  <c:v>2.4257640067903461E-2</c:v>
                </c:pt>
                <c:pt idx="85">
                  <c:v>2.5537606539386297E-2</c:v>
                </c:pt>
                <c:pt idx="86">
                  <c:v>2.5217970089555067E-2</c:v>
                </c:pt>
                <c:pt idx="87">
                  <c:v>2.7830938981291738E-2</c:v>
                </c:pt>
                <c:pt idx="88">
                  <c:v>2.4911297348001082E-2</c:v>
                </c:pt>
                <c:pt idx="89">
                  <c:v>2.0109956513938571E-2</c:v>
                </c:pt>
                <c:pt idx="90">
                  <c:v>2.3672011556102986E-2</c:v>
                </c:pt>
                <c:pt idx="91">
                  <c:v>2.2513098282270359E-2</c:v>
                </c:pt>
                <c:pt idx="92">
                  <c:v>2.2986113529618393E-2</c:v>
                </c:pt>
                <c:pt idx="93">
                  <c:v>2.7334233814528874E-2</c:v>
                </c:pt>
                <c:pt idx="94">
                  <c:v>2.2274580083525432E-2</c:v>
                </c:pt>
                <c:pt idx="95">
                  <c:v>2.6878486690658798E-2</c:v>
                </c:pt>
                <c:pt idx="96">
                  <c:v>2.4393335443564229E-2</c:v>
                </c:pt>
                <c:pt idx="97">
                  <c:v>2.9209568484613611E-2</c:v>
                </c:pt>
                <c:pt idx="98">
                  <c:v>2.5186603733179817E-2</c:v>
                </c:pt>
                <c:pt idx="99">
                  <c:v>2.7296666768075087E-2</c:v>
                </c:pt>
              </c:numCache>
            </c:numRef>
          </c:val>
        </c:ser>
        <c:ser>
          <c:idx val="11"/>
          <c:order val="11"/>
          <c:cat>
            <c:strRef>
              <c:f>'Interest Rate Simulation'!$A$115:$A$214</c:f>
              <c:strCache>
                <c:ptCount val="100"/>
                <c:pt idx="0">
                  <c:v>rt1</c:v>
                </c:pt>
                <c:pt idx="1">
                  <c:v>rt2</c:v>
                </c:pt>
                <c:pt idx="2">
                  <c:v>rt3</c:v>
                </c:pt>
                <c:pt idx="3">
                  <c:v>rt4</c:v>
                </c:pt>
                <c:pt idx="4">
                  <c:v>rt5</c:v>
                </c:pt>
                <c:pt idx="5">
                  <c:v>rt6</c:v>
                </c:pt>
                <c:pt idx="6">
                  <c:v>rt7</c:v>
                </c:pt>
                <c:pt idx="7">
                  <c:v>rt8</c:v>
                </c:pt>
                <c:pt idx="8">
                  <c:v>rt9</c:v>
                </c:pt>
                <c:pt idx="9">
                  <c:v>rt10</c:v>
                </c:pt>
                <c:pt idx="10">
                  <c:v>rt11</c:v>
                </c:pt>
                <c:pt idx="11">
                  <c:v>rt12</c:v>
                </c:pt>
                <c:pt idx="12">
                  <c:v>rt13</c:v>
                </c:pt>
                <c:pt idx="13">
                  <c:v>rt14</c:v>
                </c:pt>
                <c:pt idx="14">
                  <c:v>rt15</c:v>
                </c:pt>
                <c:pt idx="15">
                  <c:v>rt16</c:v>
                </c:pt>
                <c:pt idx="16">
                  <c:v>rt17</c:v>
                </c:pt>
                <c:pt idx="17">
                  <c:v>rt18</c:v>
                </c:pt>
                <c:pt idx="18">
                  <c:v>rt19</c:v>
                </c:pt>
                <c:pt idx="19">
                  <c:v>rt20</c:v>
                </c:pt>
                <c:pt idx="20">
                  <c:v>rt21</c:v>
                </c:pt>
                <c:pt idx="21">
                  <c:v>rt22</c:v>
                </c:pt>
                <c:pt idx="22">
                  <c:v>rt23</c:v>
                </c:pt>
                <c:pt idx="23">
                  <c:v>rt24</c:v>
                </c:pt>
                <c:pt idx="24">
                  <c:v>rt25</c:v>
                </c:pt>
                <c:pt idx="25">
                  <c:v>rt26</c:v>
                </c:pt>
                <c:pt idx="26">
                  <c:v>rt27</c:v>
                </c:pt>
                <c:pt idx="27">
                  <c:v>rt28</c:v>
                </c:pt>
                <c:pt idx="28">
                  <c:v>rt29</c:v>
                </c:pt>
                <c:pt idx="29">
                  <c:v>rt30</c:v>
                </c:pt>
                <c:pt idx="30">
                  <c:v>rt31</c:v>
                </c:pt>
                <c:pt idx="31">
                  <c:v>rt32</c:v>
                </c:pt>
                <c:pt idx="32">
                  <c:v>rt33</c:v>
                </c:pt>
                <c:pt idx="33">
                  <c:v>rt34</c:v>
                </c:pt>
                <c:pt idx="34">
                  <c:v>rt35</c:v>
                </c:pt>
                <c:pt idx="35">
                  <c:v>rt36</c:v>
                </c:pt>
                <c:pt idx="36">
                  <c:v>rt37</c:v>
                </c:pt>
                <c:pt idx="37">
                  <c:v>rt38</c:v>
                </c:pt>
                <c:pt idx="38">
                  <c:v>rt39</c:v>
                </c:pt>
                <c:pt idx="39">
                  <c:v>rt40</c:v>
                </c:pt>
                <c:pt idx="40">
                  <c:v>rt41</c:v>
                </c:pt>
                <c:pt idx="41">
                  <c:v>rt42</c:v>
                </c:pt>
                <c:pt idx="42">
                  <c:v>rt43</c:v>
                </c:pt>
                <c:pt idx="43">
                  <c:v>rt44</c:v>
                </c:pt>
                <c:pt idx="44">
                  <c:v>rt45</c:v>
                </c:pt>
                <c:pt idx="45">
                  <c:v>rt46</c:v>
                </c:pt>
                <c:pt idx="46">
                  <c:v>rt47</c:v>
                </c:pt>
                <c:pt idx="47">
                  <c:v>rt48</c:v>
                </c:pt>
                <c:pt idx="48">
                  <c:v>rt49</c:v>
                </c:pt>
                <c:pt idx="49">
                  <c:v>rt50</c:v>
                </c:pt>
                <c:pt idx="50">
                  <c:v>rt51</c:v>
                </c:pt>
                <c:pt idx="51">
                  <c:v>rt52</c:v>
                </c:pt>
                <c:pt idx="52">
                  <c:v>rt53</c:v>
                </c:pt>
                <c:pt idx="53">
                  <c:v>rt54</c:v>
                </c:pt>
                <c:pt idx="54">
                  <c:v>rt55</c:v>
                </c:pt>
                <c:pt idx="55">
                  <c:v>rt56</c:v>
                </c:pt>
                <c:pt idx="56">
                  <c:v>rt57</c:v>
                </c:pt>
                <c:pt idx="57">
                  <c:v>rt58</c:v>
                </c:pt>
                <c:pt idx="58">
                  <c:v>rt59</c:v>
                </c:pt>
                <c:pt idx="59">
                  <c:v>rt60</c:v>
                </c:pt>
                <c:pt idx="60">
                  <c:v>rt61</c:v>
                </c:pt>
                <c:pt idx="61">
                  <c:v>rt62</c:v>
                </c:pt>
                <c:pt idx="62">
                  <c:v>rt63</c:v>
                </c:pt>
                <c:pt idx="63">
                  <c:v>rt64</c:v>
                </c:pt>
                <c:pt idx="64">
                  <c:v>rt65</c:v>
                </c:pt>
                <c:pt idx="65">
                  <c:v>rt66</c:v>
                </c:pt>
                <c:pt idx="66">
                  <c:v>rt67</c:v>
                </c:pt>
                <c:pt idx="67">
                  <c:v>rt68</c:v>
                </c:pt>
                <c:pt idx="68">
                  <c:v>rt69</c:v>
                </c:pt>
                <c:pt idx="69">
                  <c:v>rt70</c:v>
                </c:pt>
                <c:pt idx="70">
                  <c:v>rt71</c:v>
                </c:pt>
                <c:pt idx="71">
                  <c:v>rt72</c:v>
                </c:pt>
                <c:pt idx="72">
                  <c:v>rt73</c:v>
                </c:pt>
                <c:pt idx="73">
                  <c:v>rt74</c:v>
                </c:pt>
                <c:pt idx="74">
                  <c:v>rt75</c:v>
                </c:pt>
                <c:pt idx="75">
                  <c:v>rt76</c:v>
                </c:pt>
                <c:pt idx="76">
                  <c:v>rt77</c:v>
                </c:pt>
                <c:pt idx="77">
                  <c:v>rt78</c:v>
                </c:pt>
                <c:pt idx="78">
                  <c:v>rt79</c:v>
                </c:pt>
                <c:pt idx="79">
                  <c:v>rt80</c:v>
                </c:pt>
                <c:pt idx="80">
                  <c:v>rt81</c:v>
                </c:pt>
                <c:pt idx="81">
                  <c:v>rt82</c:v>
                </c:pt>
                <c:pt idx="82">
                  <c:v>rt83</c:v>
                </c:pt>
                <c:pt idx="83">
                  <c:v>rt84</c:v>
                </c:pt>
                <c:pt idx="84">
                  <c:v>rt85</c:v>
                </c:pt>
                <c:pt idx="85">
                  <c:v>rt86</c:v>
                </c:pt>
                <c:pt idx="86">
                  <c:v>rt87</c:v>
                </c:pt>
                <c:pt idx="87">
                  <c:v>rt88</c:v>
                </c:pt>
                <c:pt idx="88">
                  <c:v>rt89</c:v>
                </c:pt>
                <c:pt idx="89">
                  <c:v>rt90</c:v>
                </c:pt>
                <c:pt idx="90">
                  <c:v>rt91</c:v>
                </c:pt>
                <c:pt idx="91">
                  <c:v>rt92</c:v>
                </c:pt>
                <c:pt idx="92">
                  <c:v>rt93</c:v>
                </c:pt>
                <c:pt idx="93">
                  <c:v>rt94</c:v>
                </c:pt>
                <c:pt idx="94">
                  <c:v>rt95</c:v>
                </c:pt>
                <c:pt idx="95">
                  <c:v>rt96</c:v>
                </c:pt>
                <c:pt idx="96">
                  <c:v>rt97</c:v>
                </c:pt>
                <c:pt idx="97">
                  <c:v>rt98</c:v>
                </c:pt>
                <c:pt idx="98">
                  <c:v>rt99</c:v>
                </c:pt>
                <c:pt idx="99">
                  <c:v>rt100</c:v>
                </c:pt>
              </c:strCache>
            </c:strRef>
          </c:cat>
          <c:val>
            <c:numRef>
              <c:f>'Interest Rate Simulation'!$M$115:$M$214</c:f>
              <c:numCache>
                <c:formatCode>0.00%</c:formatCode>
                <c:ptCount val="100"/>
                <c:pt idx="0">
                  <c:v>2.4665569465552137E-2</c:v>
                </c:pt>
                <c:pt idx="1">
                  <c:v>2.4254165665708736E-2</c:v>
                </c:pt>
                <c:pt idx="2">
                  <c:v>2.0537771437282568E-2</c:v>
                </c:pt>
                <c:pt idx="3">
                  <c:v>2.7107343895930024E-2</c:v>
                </c:pt>
                <c:pt idx="4">
                  <c:v>2.7360279128979745E-2</c:v>
                </c:pt>
                <c:pt idx="5">
                  <c:v>2.4162127090447249E-2</c:v>
                </c:pt>
                <c:pt idx="6">
                  <c:v>2.1859660722664424E-2</c:v>
                </c:pt>
                <c:pt idx="7">
                  <c:v>2.2858146238165677E-2</c:v>
                </c:pt>
                <c:pt idx="8">
                  <c:v>2.0873907820506316E-2</c:v>
                </c:pt>
                <c:pt idx="9">
                  <c:v>2.2047771097280407E-2</c:v>
                </c:pt>
                <c:pt idx="10">
                  <c:v>2.6643195016503831E-2</c:v>
                </c:pt>
                <c:pt idx="11">
                  <c:v>2.6373036748224291E-2</c:v>
                </c:pt>
                <c:pt idx="12">
                  <c:v>2.9447816290002943E-2</c:v>
                </c:pt>
                <c:pt idx="13">
                  <c:v>2.3189610676374525E-2</c:v>
                </c:pt>
                <c:pt idx="14">
                  <c:v>2.7306140712258627E-2</c:v>
                </c:pt>
                <c:pt idx="15">
                  <c:v>2.5081971859290897E-2</c:v>
                </c:pt>
                <c:pt idx="16">
                  <c:v>2.2078079057057901E-2</c:v>
                </c:pt>
                <c:pt idx="17">
                  <c:v>2.5390034928810066E-2</c:v>
                </c:pt>
                <c:pt idx="18">
                  <c:v>2.1777667632412259E-2</c:v>
                </c:pt>
                <c:pt idx="19">
                  <c:v>2.1945198303154827E-2</c:v>
                </c:pt>
                <c:pt idx="20">
                  <c:v>2.5074346845769424E-2</c:v>
                </c:pt>
                <c:pt idx="21">
                  <c:v>2.6807187133636733E-2</c:v>
                </c:pt>
                <c:pt idx="22">
                  <c:v>2.5192239921385171E-2</c:v>
                </c:pt>
                <c:pt idx="23">
                  <c:v>2.3589002053513539E-2</c:v>
                </c:pt>
                <c:pt idx="24">
                  <c:v>2.4068260362380821E-2</c:v>
                </c:pt>
                <c:pt idx="25">
                  <c:v>2.5583986455897743E-2</c:v>
                </c:pt>
                <c:pt idx="26">
                  <c:v>2.5484725885208483E-2</c:v>
                </c:pt>
                <c:pt idx="27">
                  <c:v>2.7395346285743569E-2</c:v>
                </c:pt>
                <c:pt idx="28">
                  <c:v>2.2645616494396063E-2</c:v>
                </c:pt>
                <c:pt idx="29">
                  <c:v>2.7282784223492722E-2</c:v>
                </c:pt>
                <c:pt idx="30">
                  <c:v>2.4996194576675946E-2</c:v>
                </c:pt>
                <c:pt idx="31">
                  <c:v>2.3069577358382661E-2</c:v>
                </c:pt>
                <c:pt idx="32">
                  <c:v>2.7256733941409123E-2</c:v>
                </c:pt>
                <c:pt idx="33">
                  <c:v>2.4949834540339159E-2</c:v>
                </c:pt>
                <c:pt idx="34">
                  <c:v>2.2427875140714166E-2</c:v>
                </c:pt>
                <c:pt idx="35">
                  <c:v>2.3772492895877347E-2</c:v>
                </c:pt>
                <c:pt idx="36">
                  <c:v>2.2746884965160093E-2</c:v>
                </c:pt>
                <c:pt idx="37">
                  <c:v>2.2996961506560734E-2</c:v>
                </c:pt>
                <c:pt idx="38">
                  <c:v>2.7925897465789221E-2</c:v>
                </c:pt>
                <c:pt idx="39">
                  <c:v>2.7332502940404155E-2</c:v>
                </c:pt>
                <c:pt idx="40">
                  <c:v>2.6251974583898011E-2</c:v>
                </c:pt>
                <c:pt idx="41">
                  <c:v>2.3232357809678954E-2</c:v>
                </c:pt>
                <c:pt idx="42">
                  <c:v>2.8578704555139563E-2</c:v>
                </c:pt>
                <c:pt idx="43">
                  <c:v>2.616557894157567E-2</c:v>
                </c:pt>
                <c:pt idx="44">
                  <c:v>2.4905034118843788E-2</c:v>
                </c:pt>
                <c:pt idx="45">
                  <c:v>2.4177256492728668E-2</c:v>
                </c:pt>
                <c:pt idx="46">
                  <c:v>2.5650746288586393E-2</c:v>
                </c:pt>
                <c:pt idx="47">
                  <c:v>2.9521840726731918E-2</c:v>
                </c:pt>
                <c:pt idx="48">
                  <c:v>2.1673962938483282E-2</c:v>
                </c:pt>
                <c:pt idx="49">
                  <c:v>2.6881047055287811E-2</c:v>
                </c:pt>
                <c:pt idx="50">
                  <c:v>2.2632791639430133E-2</c:v>
                </c:pt>
                <c:pt idx="51">
                  <c:v>2.481917212778309E-2</c:v>
                </c:pt>
                <c:pt idx="52">
                  <c:v>2.7755069371481918E-2</c:v>
                </c:pt>
                <c:pt idx="53">
                  <c:v>2.1545866267586852E-2</c:v>
                </c:pt>
                <c:pt idx="54">
                  <c:v>2.029897739741424E-2</c:v>
                </c:pt>
                <c:pt idx="55">
                  <c:v>2.4089102414124895E-2</c:v>
                </c:pt>
                <c:pt idx="56">
                  <c:v>2.5180722082113149E-2</c:v>
                </c:pt>
                <c:pt idx="57">
                  <c:v>2.3710434736018922E-2</c:v>
                </c:pt>
                <c:pt idx="58">
                  <c:v>2.6835809911432876E-2</c:v>
                </c:pt>
                <c:pt idx="59">
                  <c:v>2.0443927102833635E-2</c:v>
                </c:pt>
                <c:pt idx="60">
                  <c:v>2.4174790406652359E-2</c:v>
                </c:pt>
                <c:pt idx="61">
                  <c:v>2.7587445423040174E-2</c:v>
                </c:pt>
                <c:pt idx="62">
                  <c:v>2.2495134122363838E-2</c:v>
                </c:pt>
                <c:pt idx="63">
                  <c:v>3.0118113363100451E-2</c:v>
                </c:pt>
                <c:pt idx="64">
                  <c:v>2.6658105318044585E-2</c:v>
                </c:pt>
                <c:pt idx="65">
                  <c:v>2.3491545315846383E-2</c:v>
                </c:pt>
                <c:pt idx="66">
                  <c:v>2.509966423566681E-2</c:v>
                </c:pt>
                <c:pt idx="67">
                  <c:v>2.7572034101334221E-2</c:v>
                </c:pt>
                <c:pt idx="68">
                  <c:v>2.4456260867615005E-2</c:v>
                </c:pt>
                <c:pt idx="69">
                  <c:v>2.6523390696544896E-2</c:v>
                </c:pt>
                <c:pt idx="70">
                  <c:v>2.6413884549925253E-2</c:v>
                </c:pt>
                <c:pt idx="71">
                  <c:v>2.5253942083744207E-2</c:v>
                </c:pt>
                <c:pt idx="72">
                  <c:v>2.1525127037973522E-2</c:v>
                </c:pt>
                <c:pt idx="73">
                  <c:v>2.9610440937764708E-2</c:v>
                </c:pt>
                <c:pt idx="74">
                  <c:v>2.7255775923908838E-2</c:v>
                </c:pt>
                <c:pt idx="75">
                  <c:v>2.5080595857583789E-2</c:v>
                </c:pt>
                <c:pt idx="76">
                  <c:v>2.8905086284244961E-2</c:v>
                </c:pt>
                <c:pt idx="77">
                  <c:v>2.6516058263186166E-2</c:v>
                </c:pt>
                <c:pt idx="78">
                  <c:v>2.3592653860780993E-2</c:v>
                </c:pt>
                <c:pt idx="79">
                  <c:v>2.1882185810981388E-2</c:v>
                </c:pt>
                <c:pt idx="80">
                  <c:v>2.4014379393925561E-2</c:v>
                </c:pt>
                <c:pt idx="81">
                  <c:v>2.6862775890593858E-2</c:v>
                </c:pt>
                <c:pt idx="82">
                  <c:v>2.4014908762936143E-2</c:v>
                </c:pt>
                <c:pt idx="83">
                  <c:v>2.7033862501973732E-2</c:v>
                </c:pt>
                <c:pt idx="84">
                  <c:v>2.4492884159157097E-2</c:v>
                </c:pt>
                <c:pt idx="85">
                  <c:v>2.6718128028029975E-2</c:v>
                </c:pt>
                <c:pt idx="86">
                  <c:v>2.481139348480059E-2</c:v>
                </c:pt>
                <c:pt idx="87">
                  <c:v>2.8839958399080587E-2</c:v>
                </c:pt>
                <c:pt idx="88">
                  <c:v>2.4566206645668599E-2</c:v>
                </c:pt>
                <c:pt idx="89">
                  <c:v>2.0317080192188301E-2</c:v>
                </c:pt>
                <c:pt idx="90">
                  <c:v>2.3494988838591333E-2</c:v>
                </c:pt>
                <c:pt idx="91">
                  <c:v>2.1952978619105352E-2</c:v>
                </c:pt>
                <c:pt idx="92">
                  <c:v>2.2237402804529745E-2</c:v>
                </c:pt>
                <c:pt idx="93">
                  <c:v>2.7146177898296407E-2</c:v>
                </c:pt>
                <c:pt idx="94">
                  <c:v>2.2015014518619817E-2</c:v>
                </c:pt>
                <c:pt idx="95">
                  <c:v>2.7031954880714394E-2</c:v>
                </c:pt>
                <c:pt idx="96">
                  <c:v>2.3628565979392883E-2</c:v>
                </c:pt>
                <c:pt idx="97">
                  <c:v>3.0009947549709388E-2</c:v>
                </c:pt>
                <c:pt idx="98">
                  <c:v>2.4745748861500591E-2</c:v>
                </c:pt>
                <c:pt idx="99">
                  <c:v>2.7195322399851615E-2</c:v>
                </c:pt>
              </c:numCache>
            </c:numRef>
          </c:val>
        </c:ser>
        <c:ser>
          <c:idx val="12"/>
          <c:order val="12"/>
          <c:cat>
            <c:strRef>
              <c:f>'Interest Rate Simulation'!$A$115:$A$214</c:f>
              <c:strCache>
                <c:ptCount val="100"/>
                <c:pt idx="0">
                  <c:v>rt1</c:v>
                </c:pt>
                <c:pt idx="1">
                  <c:v>rt2</c:v>
                </c:pt>
                <c:pt idx="2">
                  <c:v>rt3</c:v>
                </c:pt>
                <c:pt idx="3">
                  <c:v>rt4</c:v>
                </c:pt>
                <c:pt idx="4">
                  <c:v>rt5</c:v>
                </c:pt>
                <c:pt idx="5">
                  <c:v>rt6</c:v>
                </c:pt>
                <c:pt idx="6">
                  <c:v>rt7</c:v>
                </c:pt>
                <c:pt idx="7">
                  <c:v>rt8</c:v>
                </c:pt>
                <c:pt idx="8">
                  <c:v>rt9</c:v>
                </c:pt>
                <c:pt idx="9">
                  <c:v>rt10</c:v>
                </c:pt>
                <c:pt idx="10">
                  <c:v>rt11</c:v>
                </c:pt>
                <c:pt idx="11">
                  <c:v>rt12</c:v>
                </c:pt>
                <c:pt idx="12">
                  <c:v>rt13</c:v>
                </c:pt>
                <c:pt idx="13">
                  <c:v>rt14</c:v>
                </c:pt>
                <c:pt idx="14">
                  <c:v>rt15</c:v>
                </c:pt>
                <c:pt idx="15">
                  <c:v>rt16</c:v>
                </c:pt>
                <c:pt idx="16">
                  <c:v>rt17</c:v>
                </c:pt>
                <c:pt idx="17">
                  <c:v>rt18</c:v>
                </c:pt>
                <c:pt idx="18">
                  <c:v>rt19</c:v>
                </c:pt>
                <c:pt idx="19">
                  <c:v>rt20</c:v>
                </c:pt>
                <c:pt idx="20">
                  <c:v>rt21</c:v>
                </c:pt>
                <c:pt idx="21">
                  <c:v>rt22</c:v>
                </c:pt>
                <c:pt idx="22">
                  <c:v>rt23</c:v>
                </c:pt>
                <c:pt idx="23">
                  <c:v>rt24</c:v>
                </c:pt>
                <c:pt idx="24">
                  <c:v>rt25</c:v>
                </c:pt>
                <c:pt idx="25">
                  <c:v>rt26</c:v>
                </c:pt>
                <c:pt idx="26">
                  <c:v>rt27</c:v>
                </c:pt>
                <c:pt idx="27">
                  <c:v>rt28</c:v>
                </c:pt>
                <c:pt idx="28">
                  <c:v>rt29</c:v>
                </c:pt>
                <c:pt idx="29">
                  <c:v>rt30</c:v>
                </c:pt>
                <c:pt idx="30">
                  <c:v>rt31</c:v>
                </c:pt>
                <c:pt idx="31">
                  <c:v>rt32</c:v>
                </c:pt>
                <c:pt idx="32">
                  <c:v>rt33</c:v>
                </c:pt>
                <c:pt idx="33">
                  <c:v>rt34</c:v>
                </c:pt>
                <c:pt idx="34">
                  <c:v>rt35</c:v>
                </c:pt>
                <c:pt idx="35">
                  <c:v>rt36</c:v>
                </c:pt>
                <c:pt idx="36">
                  <c:v>rt37</c:v>
                </c:pt>
                <c:pt idx="37">
                  <c:v>rt38</c:v>
                </c:pt>
                <c:pt idx="38">
                  <c:v>rt39</c:v>
                </c:pt>
                <c:pt idx="39">
                  <c:v>rt40</c:v>
                </c:pt>
                <c:pt idx="40">
                  <c:v>rt41</c:v>
                </c:pt>
                <c:pt idx="41">
                  <c:v>rt42</c:v>
                </c:pt>
                <c:pt idx="42">
                  <c:v>rt43</c:v>
                </c:pt>
                <c:pt idx="43">
                  <c:v>rt44</c:v>
                </c:pt>
                <c:pt idx="44">
                  <c:v>rt45</c:v>
                </c:pt>
                <c:pt idx="45">
                  <c:v>rt46</c:v>
                </c:pt>
                <c:pt idx="46">
                  <c:v>rt47</c:v>
                </c:pt>
                <c:pt idx="47">
                  <c:v>rt48</c:v>
                </c:pt>
                <c:pt idx="48">
                  <c:v>rt49</c:v>
                </c:pt>
                <c:pt idx="49">
                  <c:v>rt50</c:v>
                </c:pt>
                <c:pt idx="50">
                  <c:v>rt51</c:v>
                </c:pt>
                <c:pt idx="51">
                  <c:v>rt52</c:v>
                </c:pt>
                <c:pt idx="52">
                  <c:v>rt53</c:v>
                </c:pt>
                <c:pt idx="53">
                  <c:v>rt54</c:v>
                </c:pt>
                <c:pt idx="54">
                  <c:v>rt55</c:v>
                </c:pt>
                <c:pt idx="55">
                  <c:v>rt56</c:v>
                </c:pt>
                <c:pt idx="56">
                  <c:v>rt57</c:v>
                </c:pt>
                <c:pt idx="57">
                  <c:v>rt58</c:v>
                </c:pt>
                <c:pt idx="58">
                  <c:v>rt59</c:v>
                </c:pt>
                <c:pt idx="59">
                  <c:v>rt60</c:v>
                </c:pt>
                <c:pt idx="60">
                  <c:v>rt61</c:v>
                </c:pt>
                <c:pt idx="61">
                  <c:v>rt62</c:v>
                </c:pt>
                <c:pt idx="62">
                  <c:v>rt63</c:v>
                </c:pt>
                <c:pt idx="63">
                  <c:v>rt64</c:v>
                </c:pt>
                <c:pt idx="64">
                  <c:v>rt65</c:v>
                </c:pt>
                <c:pt idx="65">
                  <c:v>rt66</c:v>
                </c:pt>
                <c:pt idx="66">
                  <c:v>rt67</c:v>
                </c:pt>
                <c:pt idx="67">
                  <c:v>rt68</c:v>
                </c:pt>
                <c:pt idx="68">
                  <c:v>rt69</c:v>
                </c:pt>
                <c:pt idx="69">
                  <c:v>rt70</c:v>
                </c:pt>
                <c:pt idx="70">
                  <c:v>rt71</c:v>
                </c:pt>
                <c:pt idx="71">
                  <c:v>rt72</c:v>
                </c:pt>
                <c:pt idx="72">
                  <c:v>rt73</c:v>
                </c:pt>
                <c:pt idx="73">
                  <c:v>rt74</c:v>
                </c:pt>
                <c:pt idx="74">
                  <c:v>rt75</c:v>
                </c:pt>
                <c:pt idx="75">
                  <c:v>rt76</c:v>
                </c:pt>
                <c:pt idx="76">
                  <c:v>rt77</c:v>
                </c:pt>
                <c:pt idx="77">
                  <c:v>rt78</c:v>
                </c:pt>
                <c:pt idx="78">
                  <c:v>rt79</c:v>
                </c:pt>
                <c:pt idx="79">
                  <c:v>rt80</c:v>
                </c:pt>
                <c:pt idx="80">
                  <c:v>rt81</c:v>
                </c:pt>
                <c:pt idx="81">
                  <c:v>rt82</c:v>
                </c:pt>
                <c:pt idx="82">
                  <c:v>rt83</c:v>
                </c:pt>
                <c:pt idx="83">
                  <c:v>rt84</c:v>
                </c:pt>
                <c:pt idx="84">
                  <c:v>rt85</c:v>
                </c:pt>
                <c:pt idx="85">
                  <c:v>rt86</c:v>
                </c:pt>
                <c:pt idx="86">
                  <c:v>rt87</c:v>
                </c:pt>
                <c:pt idx="87">
                  <c:v>rt88</c:v>
                </c:pt>
                <c:pt idx="88">
                  <c:v>rt89</c:v>
                </c:pt>
                <c:pt idx="89">
                  <c:v>rt90</c:v>
                </c:pt>
                <c:pt idx="90">
                  <c:v>rt91</c:v>
                </c:pt>
                <c:pt idx="91">
                  <c:v>rt92</c:v>
                </c:pt>
                <c:pt idx="92">
                  <c:v>rt93</c:v>
                </c:pt>
                <c:pt idx="93">
                  <c:v>rt94</c:v>
                </c:pt>
                <c:pt idx="94">
                  <c:v>rt95</c:v>
                </c:pt>
                <c:pt idx="95">
                  <c:v>rt96</c:v>
                </c:pt>
                <c:pt idx="96">
                  <c:v>rt97</c:v>
                </c:pt>
                <c:pt idx="97">
                  <c:v>rt98</c:v>
                </c:pt>
                <c:pt idx="98">
                  <c:v>rt99</c:v>
                </c:pt>
                <c:pt idx="99">
                  <c:v>rt100</c:v>
                </c:pt>
              </c:strCache>
            </c:strRef>
          </c:cat>
          <c:val>
            <c:numRef>
              <c:f>'Interest Rate Simulation'!$N$115:$N$214</c:f>
              <c:numCache>
                <c:formatCode>0.00%</c:formatCode>
                <c:ptCount val="100"/>
                <c:pt idx="0">
                  <c:v>2.3835460259617858E-2</c:v>
                </c:pt>
                <c:pt idx="1">
                  <c:v>2.4124550043138009E-2</c:v>
                </c:pt>
                <c:pt idx="2">
                  <c:v>2.0589561507818894E-2</c:v>
                </c:pt>
                <c:pt idx="3">
                  <c:v>2.8078044123168899E-2</c:v>
                </c:pt>
                <c:pt idx="4">
                  <c:v>2.8531812378476244E-2</c:v>
                </c:pt>
                <c:pt idx="5">
                  <c:v>2.5037951167228348E-2</c:v>
                </c:pt>
                <c:pt idx="6">
                  <c:v>2.1876793904923496E-2</c:v>
                </c:pt>
                <c:pt idx="7">
                  <c:v>2.3357343083465192E-2</c:v>
                </c:pt>
                <c:pt idx="8">
                  <c:v>2.1396240145863138E-2</c:v>
                </c:pt>
                <c:pt idx="9">
                  <c:v>2.1795112377948612E-2</c:v>
                </c:pt>
                <c:pt idx="10">
                  <c:v>2.6801942005855641E-2</c:v>
                </c:pt>
                <c:pt idx="11">
                  <c:v>2.6881182107237663E-2</c:v>
                </c:pt>
                <c:pt idx="12">
                  <c:v>2.6817292495612141E-2</c:v>
                </c:pt>
                <c:pt idx="13">
                  <c:v>2.1791646681026924E-2</c:v>
                </c:pt>
                <c:pt idx="14">
                  <c:v>2.8337733293834804E-2</c:v>
                </c:pt>
                <c:pt idx="15">
                  <c:v>2.4599370481965012E-2</c:v>
                </c:pt>
                <c:pt idx="16">
                  <c:v>2.1704923512506389E-2</c:v>
                </c:pt>
                <c:pt idx="17">
                  <c:v>2.4783624075631436E-2</c:v>
                </c:pt>
                <c:pt idx="18">
                  <c:v>2.2188006919904978E-2</c:v>
                </c:pt>
                <c:pt idx="19">
                  <c:v>2.1545072961227749E-2</c:v>
                </c:pt>
                <c:pt idx="20">
                  <c:v>2.5223999677400424E-2</c:v>
                </c:pt>
                <c:pt idx="21">
                  <c:v>2.6735133458064112E-2</c:v>
                </c:pt>
                <c:pt idx="22">
                  <c:v>2.4987196827275428E-2</c:v>
                </c:pt>
                <c:pt idx="23">
                  <c:v>2.371239834735701E-2</c:v>
                </c:pt>
                <c:pt idx="24">
                  <c:v>2.3949275830057563E-2</c:v>
                </c:pt>
                <c:pt idx="25">
                  <c:v>2.5930091629758203E-2</c:v>
                </c:pt>
                <c:pt idx="26">
                  <c:v>2.6540537528969555E-2</c:v>
                </c:pt>
                <c:pt idx="27">
                  <c:v>2.6834287419029101E-2</c:v>
                </c:pt>
                <c:pt idx="28">
                  <c:v>2.3102563993312727E-2</c:v>
                </c:pt>
                <c:pt idx="29">
                  <c:v>2.8304781137668301E-2</c:v>
                </c:pt>
                <c:pt idx="30">
                  <c:v>2.6283139554165648E-2</c:v>
                </c:pt>
                <c:pt idx="31">
                  <c:v>2.276954557371335E-2</c:v>
                </c:pt>
                <c:pt idx="32">
                  <c:v>2.8499432885485051E-2</c:v>
                </c:pt>
                <c:pt idx="33">
                  <c:v>2.4137494598561557E-2</c:v>
                </c:pt>
                <c:pt idx="34">
                  <c:v>2.221916951088616E-2</c:v>
                </c:pt>
                <c:pt idx="35">
                  <c:v>2.4345231164428174E-2</c:v>
                </c:pt>
                <c:pt idx="36">
                  <c:v>2.2457574317966741E-2</c:v>
                </c:pt>
                <c:pt idx="37">
                  <c:v>2.2172238602009599E-2</c:v>
                </c:pt>
                <c:pt idx="38">
                  <c:v>2.7644915372891793E-2</c:v>
                </c:pt>
                <c:pt idx="39">
                  <c:v>2.7307679355818622E-2</c:v>
                </c:pt>
                <c:pt idx="40">
                  <c:v>2.4925610743142743E-2</c:v>
                </c:pt>
                <c:pt idx="41">
                  <c:v>2.3209990794100143E-2</c:v>
                </c:pt>
                <c:pt idx="42">
                  <c:v>2.7166320540463779E-2</c:v>
                </c:pt>
                <c:pt idx="43">
                  <c:v>2.5469402057954945E-2</c:v>
                </c:pt>
                <c:pt idx="44">
                  <c:v>2.4179070680217719E-2</c:v>
                </c:pt>
                <c:pt idx="45">
                  <c:v>2.4763482130344058E-2</c:v>
                </c:pt>
                <c:pt idx="46">
                  <c:v>2.4846805849007645E-2</c:v>
                </c:pt>
                <c:pt idx="47">
                  <c:v>2.9908554268979669E-2</c:v>
                </c:pt>
                <c:pt idx="48">
                  <c:v>2.1375036977275656E-2</c:v>
                </c:pt>
                <c:pt idx="49">
                  <c:v>2.6951965669441757E-2</c:v>
                </c:pt>
                <c:pt idx="50">
                  <c:v>2.2142899188302135E-2</c:v>
                </c:pt>
                <c:pt idx="51">
                  <c:v>2.4492470787965844E-2</c:v>
                </c:pt>
                <c:pt idx="52">
                  <c:v>2.8196629583887516E-2</c:v>
                </c:pt>
                <c:pt idx="53">
                  <c:v>2.1659836758842383E-2</c:v>
                </c:pt>
                <c:pt idx="54">
                  <c:v>2.0809522137273623E-2</c:v>
                </c:pt>
                <c:pt idx="55">
                  <c:v>2.3423748792654905E-2</c:v>
                </c:pt>
                <c:pt idx="56">
                  <c:v>2.6136939820656867E-2</c:v>
                </c:pt>
                <c:pt idx="57">
                  <c:v>2.3528090198897393E-2</c:v>
                </c:pt>
                <c:pt idx="58">
                  <c:v>2.6267090915711402E-2</c:v>
                </c:pt>
                <c:pt idx="59">
                  <c:v>2.074747089463936E-2</c:v>
                </c:pt>
                <c:pt idx="60">
                  <c:v>2.4650095639624503E-2</c:v>
                </c:pt>
                <c:pt idx="61">
                  <c:v>2.9036359562716701E-2</c:v>
                </c:pt>
                <c:pt idx="62">
                  <c:v>2.1855799567412241E-2</c:v>
                </c:pt>
                <c:pt idx="63">
                  <c:v>3.2445597712979821E-2</c:v>
                </c:pt>
                <c:pt idx="64">
                  <c:v>2.5572652577354471E-2</c:v>
                </c:pt>
                <c:pt idx="65">
                  <c:v>2.4070511541724057E-2</c:v>
                </c:pt>
                <c:pt idx="66">
                  <c:v>2.4721023351654287E-2</c:v>
                </c:pt>
                <c:pt idx="67">
                  <c:v>2.7636256837124035E-2</c:v>
                </c:pt>
                <c:pt idx="68">
                  <c:v>2.4742578405024317E-2</c:v>
                </c:pt>
                <c:pt idx="69">
                  <c:v>2.5742019418101805E-2</c:v>
                </c:pt>
                <c:pt idx="70">
                  <c:v>2.7214099231896015E-2</c:v>
                </c:pt>
                <c:pt idx="71">
                  <c:v>2.6110930342475278E-2</c:v>
                </c:pt>
                <c:pt idx="72">
                  <c:v>2.09751177973726E-2</c:v>
                </c:pt>
                <c:pt idx="73">
                  <c:v>2.8997017174874629E-2</c:v>
                </c:pt>
                <c:pt idx="74">
                  <c:v>2.6659188440167219E-2</c:v>
                </c:pt>
                <c:pt idx="75">
                  <c:v>2.5929051653342715E-2</c:v>
                </c:pt>
                <c:pt idx="76">
                  <c:v>2.8806009897642273E-2</c:v>
                </c:pt>
                <c:pt idx="77">
                  <c:v>2.5167066142074639E-2</c:v>
                </c:pt>
                <c:pt idx="78">
                  <c:v>2.47660464780812E-2</c:v>
                </c:pt>
                <c:pt idx="79">
                  <c:v>2.2491722199266016E-2</c:v>
                </c:pt>
                <c:pt idx="80">
                  <c:v>2.4180823173910869E-2</c:v>
                </c:pt>
                <c:pt idx="81">
                  <c:v>2.832737883523526E-2</c:v>
                </c:pt>
                <c:pt idx="82">
                  <c:v>2.5164853134614338E-2</c:v>
                </c:pt>
                <c:pt idx="83">
                  <c:v>2.6609336956106209E-2</c:v>
                </c:pt>
                <c:pt idx="84">
                  <c:v>2.4956515706526558E-2</c:v>
                </c:pt>
                <c:pt idx="85">
                  <c:v>2.7711353003487732E-2</c:v>
                </c:pt>
                <c:pt idx="86">
                  <c:v>2.4423082335647241E-2</c:v>
                </c:pt>
                <c:pt idx="87">
                  <c:v>2.9179318489081469E-2</c:v>
                </c:pt>
                <c:pt idx="88">
                  <c:v>2.3618851011158366E-2</c:v>
                </c:pt>
                <c:pt idx="89">
                  <c:v>1.9849261930776286E-2</c:v>
                </c:pt>
                <c:pt idx="90">
                  <c:v>2.2966302430449274E-2</c:v>
                </c:pt>
                <c:pt idx="91">
                  <c:v>2.0126768189269059E-2</c:v>
                </c:pt>
                <c:pt idx="92">
                  <c:v>2.1656437634696605E-2</c:v>
                </c:pt>
                <c:pt idx="93">
                  <c:v>2.67090281309478E-2</c:v>
                </c:pt>
                <c:pt idx="94">
                  <c:v>2.1548378518512292E-2</c:v>
                </c:pt>
                <c:pt idx="95">
                  <c:v>2.7677106860680964E-2</c:v>
                </c:pt>
                <c:pt idx="96">
                  <c:v>2.4971441775469456E-2</c:v>
                </c:pt>
                <c:pt idx="97">
                  <c:v>2.9118261002557488E-2</c:v>
                </c:pt>
                <c:pt idx="98">
                  <c:v>2.4385420052801678E-2</c:v>
                </c:pt>
                <c:pt idx="99">
                  <c:v>2.7274552010107634E-2</c:v>
                </c:pt>
              </c:numCache>
            </c:numRef>
          </c:val>
        </c:ser>
        <c:marker val="1"/>
        <c:axId val="95867264"/>
        <c:axId val="95868800"/>
      </c:lineChart>
      <c:catAx>
        <c:axId val="95867264"/>
        <c:scaling>
          <c:orientation val="minMax"/>
        </c:scaling>
        <c:axPos val="b"/>
        <c:tickLblPos val="nextTo"/>
        <c:txPr>
          <a:bodyPr/>
          <a:lstStyle/>
          <a:p>
            <a:pPr>
              <a:defRPr lang="th-TH"/>
            </a:pPr>
            <a:endParaRPr lang="en-US"/>
          </a:p>
        </c:txPr>
        <c:crossAx val="95868800"/>
        <c:crosses val="autoZero"/>
        <c:auto val="1"/>
        <c:lblAlgn val="ctr"/>
        <c:lblOffset val="100"/>
      </c:catAx>
      <c:valAx>
        <c:axId val="95868800"/>
        <c:scaling>
          <c:orientation val="minMax"/>
          <c:min val="1.5000000000000015E-2"/>
        </c:scaling>
        <c:axPos val="l"/>
        <c:majorGridlines/>
        <c:numFmt formatCode="0.00%" sourceLinked="1"/>
        <c:tickLblPos val="nextTo"/>
        <c:txPr>
          <a:bodyPr/>
          <a:lstStyle/>
          <a:p>
            <a:pPr>
              <a:defRPr lang="th-TH"/>
            </a:pPr>
            <a:endParaRPr lang="en-US"/>
          </a:p>
        </c:txPr>
        <c:crossAx val="95867264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lang="th-TH"/>
          </a:pPr>
          <a:endParaRPr lang="en-US"/>
        </a:p>
      </c:txPr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0"/>
  <c:chart>
    <c:title>
      <c:txPr>
        <a:bodyPr/>
        <a:lstStyle/>
        <a:p>
          <a:pPr>
            <a:defRPr lang="th-TH"/>
          </a:pPr>
          <a:endParaRPr lang="en-US"/>
        </a:p>
      </c:txPr>
    </c:title>
    <c:plotArea>
      <c:layout/>
      <c:lineChart>
        <c:grouping val="standard"/>
        <c:ser>
          <c:idx val="0"/>
          <c:order val="0"/>
          <c:marker>
            <c:symbol val="none"/>
          </c:marker>
          <c:val>
            <c:numRef>
              <c:f>OutputInt!$A$1:$L$1</c:f>
              <c:numCache>
                <c:formatCode>General</c:formatCode>
                <c:ptCount val="12"/>
                <c:pt idx="0">
                  <c:v>2.4129434348093521E-2</c:v>
                </c:pt>
                <c:pt idx="1">
                  <c:v>2.324053551645968E-2</c:v>
                </c:pt>
                <c:pt idx="2">
                  <c:v>2.2939015164201437E-2</c:v>
                </c:pt>
                <c:pt idx="3">
                  <c:v>2.217125476436729E-2</c:v>
                </c:pt>
                <c:pt idx="4">
                  <c:v>1.996709946726101E-2</c:v>
                </c:pt>
                <c:pt idx="5">
                  <c:v>2.002250146846386E-2</c:v>
                </c:pt>
                <c:pt idx="6">
                  <c:v>2.0266917301687459E-2</c:v>
                </c:pt>
                <c:pt idx="7">
                  <c:v>2.033424228879881E-2</c:v>
                </c:pt>
                <c:pt idx="8">
                  <c:v>2.0918328101044516E-2</c:v>
                </c:pt>
                <c:pt idx="9">
                  <c:v>2.0062489002391937E-2</c:v>
                </c:pt>
                <c:pt idx="10">
                  <c:v>1.9545142909282158E-2</c:v>
                </c:pt>
                <c:pt idx="11">
                  <c:v>1.9819512025472632E-2</c:v>
                </c:pt>
              </c:numCache>
            </c:numRef>
          </c:val>
        </c:ser>
        <c:ser>
          <c:idx val="1"/>
          <c:order val="1"/>
          <c:marker>
            <c:symbol val="none"/>
          </c:marker>
          <c:val>
            <c:numRef>
              <c:f>OutputInt!$A$2:$L$2</c:f>
              <c:numCache>
                <c:formatCode>General</c:formatCode>
                <c:ptCount val="12"/>
                <c:pt idx="0">
                  <c:v>2.5113116515491109E-2</c:v>
                </c:pt>
                <c:pt idx="1">
                  <c:v>2.4838500873813368E-2</c:v>
                </c:pt>
                <c:pt idx="2">
                  <c:v>2.4077963598820803E-2</c:v>
                </c:pt>
                <c:pt idx="3">
                  <c:v>2.4469013916558185E-2</c:v>
                </c:pt>
                <c:pt idx="4">
                  <c:v>2.5569739775536691E-2</c:v>
                </c:pt>
                <c:pt idx="5">
                  <c:v>2.5627883304661536E-2</c:v>
                </c:pt>
                <c:pt idx="6">
                  <c:v>2.4615815379192343E-2</c:v>
                </c:pt>
                <c:pt idx="7">
                  <c:v>2.5137414143127184E-2</c:v>
                </c:pt>
                <c:pt idx="8">
                  <c:v>2.4950586032468438E-2</c:v>
                </c:pt>
                <c:pt idx="9">
                  <c:v>2.4878984548119636E-2</c:v>
                </c:pt>
                <c:pt idx="10">
                  <c:v>2.4864270162187493E-2</c:v>
                </c:pt>
                <c:pt idx="11">
                  <c:v>2.4263883276866318E-2</c:v>
                </c:pt>
              </c:numCache>
            </c:numRef>
          </c:val>
        </c:ser>
        <c:ser>
          <c:idx val="2"/>
          <c:order val="2"/>
          <c:marker>
            <c:symbol val="none"/>
          </c:marker>
          <c:val>
            <c:numRef>
              <c:f>OutputInt!$A$3:$L$3</c:f>
              <c:numCache>
                <c:formatCode>General</c:formatCode>
                <c:ptCount val="12"/>
                <c:pt idx="0">
                  <c:v>2.4869001821438797E-2</c:v>
                </c:pt>
                <c:pt idx="1">
                  <c:v>2.391195023134118E-2</c:v>
                </c:pt>
                <c:pt idx="2">
                  <c:v>2.4075307466251177E-2</c:v>
                </c:pt>
                <c:pt idx="3">
                  <c:v>2.3395524193590513E-2</c:v>
                </c:pt>
                <c:pt idx="4">
                  <c:v>2.44417087117582E-2</c:v>
                </c:pt>
                <c:pt idx="5">
                  <c:v>2.3511406595574699E-2</c:v>
                </c:pt>
                <c:pt idx="6">
                  <c:v>2.3411993418221987E-2</c:v>
                </c:pt>
                <c:pt idx="7">
                  <c:v>2.2991601144973731E-2</c:v>
                </c:pt>
                <c:pt idx="8">
                  <c:v>2.3790417617321837E-2</c:v>
                </c:pt>
                <c:pt idx="9">
                  <c:v>2.4278244177124968E-2</c:v>
                </c:pt>
                <c:pt idx="10">
                  <c:v>2.3842277318963476E-2</c:v>
                </c:pt>
                <c:pt idx="11">
                  <c:v>2.4166287911707288E-2</c:v>
                </c:pt>
              </c:numCache>
            </c:numRef>
          </c:val>
        </c:ser>
        <c:ser>
          <c:idx val="3"/>
          <c:order val="3"/>
          <c:marker>
            <c:symbol val="none"/>
          </c:marker>
          <c:val>
            <c:numRef>
              <c:f>OutputInt!$A$4:$L$4</c:f>
              <c:numCache>
                <c:formatCode>General</c:formatCode>
                <c:ptCount val="12"/>
                <c:pt idx="0">
                  <c:v>2.4710498531046888E-2</c:v>
                </c:pt>
                <c:pt idx="1">
                  <c:v>2.3735790842320106E-2</c:v>
                </c:pt>
                <c:pt idx="2">
                  <c:v>2.2442850998341979E-2</c:v>
                </c:pt>
                <c:pt idx="3">
                  <c:v>2.2135164994924912E-2</c:v>
                </c:pt>
                <c:pt idx="4">
                  <c:v>2.2677483337659177E-2</c:v>
                </c:pt>
                <c:pt idx="5">
                  <c:v>2.2318190757883504E-2</c:v>
                </c:pt>
                <c:pt idx="6">
                  <c:v>2.1840238886488374E-2</c:v>
                </c:pt>
                <c:pt idx="7">
                  <c:v>2.1808161986304617E-2</c:v>
                </c:pt>
                <c:pt idx="8">
                  <c:v>2.1380537795504036E-2</c:v>
                </c:pt>
                <c:pt idx="9">
                  <c:v>2.11186412399113E-2</c:v>
                </c:pt>
                <c:pt idx="10">
                  <c:v>2.0070933698072026E-2</c:v>
                </c:pt>
                <c:pt idx="11">
                  <c:v>2.0044420428849616E-2</c:v>
                </c:pt>
              </c:numCache>
            </c:numRef>
          </c:val>
        </c:ser>
        <c:ser>
          <c:idx val="4"/>
          <c:order val="4"/>
          <c:marker>
            <c:symbol val="none"/>
          </c:marker>
          <c:val>
            <c:numRef>
              <c:f>OutputInt!$A$5:$L$5</c:f>
              <c:numCache>
                <c:formatCode>General</c:formatCode>
                <c:ptCount val="12"/>
                <c:pt idx="0">
                  <c:v>2.4587343792036927E-2</c:v>
                </c:pt>
                <c:pt idx="1">
                  <c:v>2.5412906359337899E-2</c:v>
                </c:pt>
                <c:pt idx="2">
                  <c:v>2.5584201224504395E-2</c:v>
                </c:pt>
                <c:pt idx="3">
                  <c:v>2.6119254066198132E-2</c:v>
                </c:pt>
                <c:pt idx="4">
                  <c:v>2.7288785426272721E-2</c:v>
                </c:pt>
                <c:pt idx="5">
                  <c:v>2.693317976450792E-2</c:v>
                </c:pt>
                <c:pt idx="6">
                  <c:v>2.7020366445624017E-2</c:v>
                </c:pt>
                <c:pt idx="7">
                  <c:v>2.5908582699287266E-2</c:v>
                </c:pt>
                <c:pt idx="8">
                  <c:v>2.6176838428258294E-2</c:v>
                </c:pt>
                <c:pt idx="9">
                  <c:v>2.5998748011276298E-2</c:v>
                </c:pt>
                <c:pt idx="10">
                  <c:v>2.740467990979728E-2</c:v>
                </c:pt>
                <c:pt idx="11">
                  <c:v>2.6433735172182265E-2</c:v>
                </c:pt>
              </c:numCache>
            </c:numRef>
          </c:val>
        </c:ser>
        <c:ser>
          <c:idx val="5"/>
          <c:order val="5"/>
          <c:marker>
            <c:symbol val="none"/>
          </c:marker>
          <c:val>
            <c:numRef>
              <c:f>OutputInt!$A$6:$L$6</c:f>
              <c:numCache>
                <c:formatCode>General</c:formatCode>
                <c:ptCount val="12"/>
                <c:pt idx="0">
                  <c:v>2.6303457443737247E-2</c:v>
                </c:pt>
                <c:pt idx="1">
                  <c:v>2.6545976133099343E-2</c:v>
                </c:pt>
                <c:pt idx="2">
                  <c:v>2.6235958322921998E-2</c:v>
                </c:pt>
                <c:pt idx="3">
                  <c:v>2.5430203785092829E-2</c:v>
                </c:pt>
                <c:pt idx="4">
                  <c:v>2.5391859581462565E-2</c:v>
                </c:pt>
                <c:pt idx="5">
                  <c:v>2.4808844593062426E-2</c:v>
                </c:pt>
                <c:pt idx="6">
                  <c:v>2.6738306555976941E-2</c:v>
                </c:pt>
                <c:pt idx="7">
                  <c:v>2.5851320817852668E-2</c:v>
                </c:pt>
                <c:pt idx="8">
                  <c:v>2.4420817628328314E-2</c:v>
                </c:pt>
                <c:pt idx="9">
                  <c:v>2.4131063908239183E-2</c:v>
                </c:pt>
                <c:pt idx="10">
                  <c:v>2.421787735167209E-2</c:v>
                </c:pt>
                <c:pt idx="11">
                  <c:v>2.5275760892845559E-2</c:v>
                </c:pt>
              </c:numCache>
            </c:numRef>
          </c:val>
        </c:ser>
        <c:ser>
          <c:idx val="6"/>
          <c:order val="6"/>
          <c:marker>
            <c:symbol val="none"/>
          </c:marker>
          <c:val>
            <c:numRef>
              <c:f>OutputInt!$A$7:$L$7</c:f>
              <c:numCache>
                <c:formatCode>General</c:formatCode>
                <c:ptCount val="12"/>
                <c:pt idx="0">
                  <c:v>2.5272627539972253E-2</c:v>
                </c:pt>
                <c:pt idx="1">
                  <c:v>2.5093690592574453E-2</c:v>
                </c:pt>
                <c:pt idx="2">
                  <c:v>2.5877002228615626E-2</c:v>
                </c:pt>
                <c:pt idx="3">
                  <c:v>2.6616526356035827E-2</c:v>
                </c:pt>
                <c:pt idx="4">
                  <c:v>2.6975466344524204E-2</c:v>
                </c:pt>
                <c:pt idx="5">
                  <c:v>2.7455835366249362E-2</c:v>
                </c:pt>
                <c:pt idx="6">
                  <c:v>2.9793295740780407E-2</c:v>
                </c:pt>
                <c:pt idx="7">
                  <c:v>2.9426296798770724E-2</c:v>
                </c:pt>
                <c:pt idx="8">
                  <c:v>2.9415563270498137E-2</c:v>
                </c:pt>
                <c:pt idx="9">
                  <c:v>2.9221994790134865E-2</c:v>
                </c:pt>
                <c:pt idx="10">
                  <c:v>2.9673173990477981E-2</c:v>
                </c:pt>
                <c:pt idx="11">
                  <c:v>2.8866256883167411E-2</c:v>
                </c:pt>
              </c:numCache>
            </c:numRef>
          </c:val>
        </c:ser>
        <c:ser>
          <c:idx val="7"/>
          <c:order val="7"/>
          <c:marker>
            <c:symbol val="none"/>
          </c:marker>
          <c:val>
            <c:numRef>
              <c:f>OutputInt!$A$8:$L$8</c:f>
              <c:numCache>
                <c:formatCode>General</c:formatCode>
                <c:ptCount val="12"/>
                <c:pt idx="0">
                  <c:v>2.5053371061198825E-2</c:v>
                </c:pt>
                <c:pt idx="1">
                  <c:v>2.5134944553411798E-2</c:v>
                </c:pt>
                <c:pt idx="2">
                  <c:v>2.5819059955477345E-2</c:v>
                </c:pt>
                <c:pt idx="3">
                  <c:v>2.5898683438887706E-2</c:v>
                </c:pt>
                <c:pt idx="4">
                  <c:v>2.5757077828839518E-2</c:v>
                </c:pt>
                <c:pt idx="5">
                  <c:v>2.5774575226608809E-2</c:v>
                </c:pt>
                <c:pt idx="6">
                  <c:v>2.5203943891800085E-2</c:v>
                </c:pt>
                <c:pt idx="7">
                  <c:v>2.5434291391316369E-2</c:v>
                </c:pt>
                <c:pt idx="8">
                  <c:v>2.5414777055120161E-2</c:v>
                </c:pt>
                <c:pt idx="9">
                  <c:v>2.5775587190450911E-2</c:v>
                </c:pt>
                <c:pt idx="10">
                  <c:v>2.6727265591237656E-2</c:v>
                </c:pt>
                <c:pt idx="11">
                  <c:v>2.6463494082581324E-2</c:v>
                </c:pt>
              </c:numCache>
            </c:numRef>
          </c:val>
        </c:ser>
        <c:ser>
          <c:idx val="8"/>
          <c:order val="8"/>
          <c:marker>
            <c:symbol val="none"/>
          </c:marker>
          <c:val>
            <c:numRef>
              <c:f>OutputInt!$A$9:$L$9</c:f>
              <c:numCache>
                <c:formatCode>General</c:formatCode>
                <c:ptCount val="12"/>
                <c:pt idx="0">
                  <c:v>2.4811927220124017E-2</c:v>
                </c:pt>
                <c:pt idx="1">
                  <c:v>2.4409470722677771E-2</c:v>
                </c:pt>
                <c:pt idx="2">
                  <c:v>2.3663079829533269E-2</c:v>
                </c:pt>
                <c:pt idx="3">
                  <c:v>2.3716210413785955E-2</c:v>
                </c:pt>
                <c:pt idx="4">
                  <c:v>2.3180704570472804E-2</c:v>
                </c:pt>
                <c:pt idx="5">
                  <c:v>2.332961238755674E-2</c:v>
                </c:pt>
                <c:pt idx="6">
                  <c:v>2.3086428552911518E-2</c:v>
                </c:pt>
                <c:pt idx="7">
                  <c:v>2.3900426509649506E-2</c:v>
                </c:pt>
                <c:pt idx="8">
                  <c:v>2.3860877842189144E-2</c:v>
                </c:pt>
                <c:pt idx="9">
                  <c:v>2.3242240676249727E-2</c:v>
                </c:pt>
                <c:pt idx="10">
                  <c:v>2.357866758690471E-2</c:v>
                </c:pt>
                <c:pt idx="11">
                  <c:v>2.405473813379113E-2</c:v>
                </c:pt>
              </c:numCache>
            </c:numRef>
          </c:val>
        </c:ser>
        <c:ser>
          <c:idx val="9"/>
          <c:order val="9"/>
          <c:marker>
            <c:symbol val="none"/>
          </c:marker>
          <c:val>
            <c:numRef>
              <c:f>OutputInt!$A$10:$L$10</c:f>
              <c:numCache>
                <c:formatCode>General</c:formatCode>
                <c:ptCount val="12"/>
                <c:pt idx="0">
                  <c:v>2.5419817494805604E-2</c:v>
                </c:pt>
                <c:pt idx="1">
                  <c:v>2.602114491056149E-2</c:v>
                </c:pt>
                <c:pt idx="2">
                  <c:v>2.5261638024499811E-2</c:v>
                </c:pt>
                <c:pt idx="3">
                  <c:v>2.5929378866629878E-2</c:v>
                </c:pt>
                <c:pt idx="4">
                  <c:v>2.5289885149194745E-2</c:v>
                </c:pt>
                <c:pt idx="5">
                  <c:v>2.6624467684026328E-2</c:v>
                </c:pt>
                <c:pt idx="6">
                  <c:v>2.5447171692710161E-2</c:v>
                </c:pt>
                <c:pt idx="7">
                  <c:v>2.4296645319572392E-2</c:v>
                </c:pt>
                <c:pt idx="8">
                  <c:v>2.4899883629135373E-2</c:v>
                </c:pt>
                <c:pt idx="9">
                  <c:v>2.4671903972598674E-2</c:v>
                </c:pt>
                <c:pt idx="10">
                  <c:v>2.460428253064037E-2</c:v>
                </c:pt>
                <c:pt idx="11">
                  <c:v>2.3750418109281614E-2</c:v>
                </c:pt>
              </c:numCache>
            </c:numRef>
          </c:val>
        </c:ser>
        <c:marker val="1"/>
        <c:axId val="96835072"/>
        <c:axId val="96836608"/>
      </c:lineChart>
      <c:catAx>
        <c:axId val="96835072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th-TH"/>
            </a:pPr>
            <a:endParaRPr lang="en-US"/>
          </a:p>
        </c:txPr>
        <c:crossAx val="96836608"/>
        <c:crosses val="autoZero"/>
        <c:auto val="1"/>
        <c:lblAlgn val="ctr"/>
        <c:lblOffset val="100"/>
      </c:catAx>
      <c:valAx>
        <c:axId val="9683660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spPr>
          <a:ln w="9525">
            <a:noFill/>
          </a:ln>
        </c:spPr>
        <c:txPr>
          <a:bodyPr/>
          <a:lstStyle/>
          <a:p>
            <a:pPr>
              <a:defRPr lang="th-TH"/>
            </a:pPr>
            <a:endParaRPr lang="en-US"/>
          </a:p>
        </c:txPr>
        <c:crossAx val="96835072"/>
        <c:crosses val="autoZero"/>
        <c:crossBetween val="between"/>
      </c:valAx>
    </c:plotArea>
    <c:legend>
      <c:legendPos val="b"/>
      <c:txPr>
        <a:bodyPr/>
        <a:lstStyle/>
        <a:p>
          <a:pPr>
            <a:defRPr lang="th-TH"/>
          </a:pPr>
          <a:endParaRPr lang="en-US"/>
        </a:p>
      </c:txPr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chart>
    <c:plotArea>
      <c:layout>
        <c:manualLayout>
          <c:layoutTarget val="inner"/>
          <c:xMode val="edge"/>
          <c:yMode val="edge"/>
          <c:x val="0.19403018372703429"/>
          <c:y val="4.6770924467774859E-2"/>
          <c:w val="0.71753368328958922"/>
          <c:h val="0.79822506561679785"/>
        </c:manualLayout>
      </c:layout>
      <c:scatterChart>
        <c:scatterStyle val="lineMarker"/>
        <c:ser>
          <c:idx val="0"/>
          <c:order val="0"/>
          <c:tx>
            <c:strRef>
              <c:f>'Multiple Assets'!$B$25</c:f>
              <c:strCache>
                <c:ptCount val="1"/>
                <c:pt idx="0">
                  <c:v>A</c:v>
                </c:pt>
              </c:strCache>
            </c:strRef>
          </c:tx>
          <c:spPr>
            <a:ln w="28575">
              <a:noFill/>
            </a:ln>
          </c:spPr>
          <c:xVal>
            <c:strRef>
              <c:f>'Multiple Assets'!$A$26:$A$38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xVal>
          <c:yVal>
            <c:numRef>
              <c:f>'Multiple Assets'!$B$26:$B$38</c:f>
              <c:numCache>
                <c:formatCode>General</c:formatCode>
                <c:ptCount val="13"/>
                <c:pt idx="0" formatCode="_-* #,##0.00_-;\-* #,##0.00_-;_-* &quot;-&quot;??_-;_-@_-">
                  <c:v>100</c:v>
                </c:pt>
                <c:pt idx="1">
                  <c:v>102.11321568197718</c:v>
                </c:pt>
                <c:pt idx="2">
                  <c:v>105.8951232361502</c:v>
                </c:pt>
                <c:pt idx="3">
                  <c:v>116.1559601429346</c:v>
                </c:pt>
                <c:pt idx="4">
                  <c:v>113.17152351780847</c:v>
                </c:pt>
                <c:pt idx="5">
                  <c:v>119.97266972052817</c:v>
                </c:pt>
                <c:pt idx="6">
                  <c:v>123.11716211884344</c:v>
                </c:pt>
                <c:pt idx="7">
                  <c:v>123.5462145995303</c:v>
                </c:pt>
                <c:pt idx="8">
                  <c:v>123.63931801543184</c:v>
                </c:pt>
                <c:pt idx="9">
                  <c:v>123.01717993842406</c:v>
                </c:pt>
                <c:pt idx="10">
                  <c:v>119.95424608268296</c:v>
                </c:pt>
                <c:pt idx="11">
                  <c:v>126.52807020963144</c:v>
                </c:pt>
                <c:pt idx="12">
                  <c:v>125.13080085684362</c:v>
                </c:pt>
              </c:numCache>
            </c:numRef>
          </c:yVal>
        </c:ser>
        <c:ser>
          <c:idx val="1"/>
          <c:order val="1"/>
          <c:tx>
            <c:strRef>
              <c:f>'Multiple Assets'!$C$25</c:f>
              <c:strCache>
                <c:ptCount val="1"/>
                <c:pt idx="0">
                  <c:v>B</c:v>
                </c:pt>
              </c:strCache>
            </c:strRef>
          </c:tx>
          <c:spPr>
            <a:ln w="28575">
              <a:noFill/>
            </a:ln>
          </c:spPr>
          <c:xVal>
            <c:strRef>
              <c:f>'Multiple Assets'!$A$26:$A$38</c:f>
              <c:strCache>
                <c:ptCount val="13"/>
                <c:pt idx="0">
                  <c:v>t0</c:v>
                </c:pt>
                <c:pt idx="1">
                  <c:v>t1</c:v>
                </c:pt>
                <c:pt idx="2">
                  <c:v>t2</c:v>
                </c:pt>
                <c:pt idx="3">
                  <c:v>t3</c:v>
                </c:pt>
                <c:pt idx="4">
                  <c:v>t4</c:v>
                </c:pt>
                <c:pt idx="5">
                  <c:v>t5</c:v>
                </c:pt>
                <c:pt idx="6">
                  <c:v>t6</c:v>
                </c:pt>
                <c:pt idx="7">
                  <c:v>t7</c:v>
                </c:pt>
                <c:pt idx="8">
                  <c:v>t8</c:v>
                </c:pt>
                <c:pt idx="9">
                  <c:v>t9</c:v>
                </c:pt>
                <c:pt idx="10">
                  <c:v>t10</c:v>
                </c:pt>
                <c:pt idx="11">
                  <c:v>t11</c:v>
                </c:pt>
                <c:pt idx="12">
                  <c:v>t12</c:v>
                </c:pt>
              </c:strCache>
            </c:strRef>
          </c:xVal>
          <c:yVal>
            <c:numRef>
              <c:f>'Multiple Assets'!$C$26:$C$38</c:f>
              <c:numCache>
                <c:formatCode>General</c:formatCode>
                <c:ptCount val="13"/>
                <c:pt idx="0">
                  <c:v>100</c:v>
                </c:pt>
                <c:pt idx="1">
                  <c:v>101.49987613283402</c:v>
                </c:pt>
                <c:pt idx="2">
                  <c:v>102.11662910243204</c:v>
                </c:pt>
                <c:pt idx="3">
                  <c:v>102.90057611789182</c:v>
                </c:pt>
                <c:pt idx="4">
                  <c:v>102.17235880249144</c:v>
                </c:pt>
                <c:pt idx="5">
                  <c:v>106.31713999000708</c:v>
                </c:pt>
                <c:pt idx="6">
                  <c:v>109.42489951853516</c:v>
                </c:pt>
                <c:pt idx="7">
                  <c:v>110.23606937329009</c:v>
                </c:pt>
                <c:pt idx="8">
                  <c:v>108.7420157830655</c:v>
                </c:pt>
                <c:pt idx="9">
                  <c:v>110.79385394616931</c:v>
                </c:pt>
                <c:pt idx="10">
                  <c:v>112.0140323174984</c:v>
                </c:pt>
                <c:pt idx="11">
                  <c:v>114.1477129279599</c:v>
                </c:pt>
                <c:pt idx="12">
                  <c:v>113.02687131948605</c:v>
                </c:pt>
              </c:numCache>
            </c:numRef>
          </c:yVal>
        </c:ser>
        <c:axId val="96772864"/>
        <c:axId val="96774400"/>
      </c:scatterChart>
      <c:valAx>
        <c:axId val="96772864"/>
        <c:scaling>
          <c:orientation val="minMax"/>
        </c:scaling>
        <c:axPos val="b"/>
        <c:tickLblPos val="nextTo"/>
        <c:txPr>
          <a:bodyPr/>
          <a:lstStyle/>
          <a:p>
            <a:pPr>
              <a:defRPr lang="th-TH"/>
            </a:pPr>
            <a:endParaRPr lang="en-US"/>
          </a:p>
        </c:txPr>
        <c:crossAx val="96774400"/>
        <c:crosses val="autoZero"/>
        <c:crossBetween val="midCat"/>
      </c:valAx>
      <c:valAx>
        <c:axId val="96774400"/>
        <c:scaling>
          <c:orientation val="minMax"/>
        </c:scaling>
        <c:axPos val="l"/>
        <c:majorGridlines/>
        <c:numFmt formatCode="_-* #,##0.00_-;\-* #,##0.00_-;_-* &quot;-&quot;??_-;_-@_-" sourceLinked="1"/>
        <c:tickLblPos val="nextTo"/>
        <c:txPr>
          <a:bodyPr/>
          <a:lstStyle/>
          <a:p>
            <a:pPr>
              <a:defRPr lang="th-TH"/>
            </a:pPr>
            <a:endParaRPr lang="en-US"/>
          </a:p>
        </c:txPr>
        <c:crossAx val="96772864"/>
        <c:crosses val="autoZero"/>
        <c:crossBetween val="midCat"/>
      </c:valAx>
    </c:plotArea>
    <c:legend>
      <c:legendPos val="r"/>
      <c:txPr>
        <a:bodyPr/>
        <a:lstStyle/>
        <a:p>
          <a:pPr>
            <a:defRPr lang="th-TH"/>
          </a:pPr>
          <a:endParaRPr lang="en-US"/>
        </a:p>
      </c:txPr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9</xdr:row>
      <xdr:rowOff>0</xdr:rowOff>
    </xdr:from>
    <xdr:to>
      <xdr:col>10</xdr:col>
      <xdr:colOff>9525</xdr:colOff>
      <xdr:row>24</xdr:row>
      <xdr:rowOff>28575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800100</xdr:colOff>
      <xdr:row>120</xdr:row>
      <xdr:rowOff>104775</xdr:rowOff>
    </xdr:from>
    <xdr:to>
      <xdr:col>11</xdr:col>
      <xdr:colOff>200025</xdr:colOff>
      <xdr:row>138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6</xdr:row>
      <xdr:rowOff>28575</xdr:rowOff>
    </xdr:from>
    <xdr:to>
      <xdr:col>10</xdr:col>
      <xdr:colOff>200025</xdr:colOff>
      <xdr:row>21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314325</xdr:colOff>
      <xdr:row>24</xdr:row>
      <xdr:rowOff>19050</xdr:rowOff>
    </xdr:from>
    <xdr:to>
      <xdr:col>10</xdr:col>
      <xdr:colOff>85725</xdr:colOff>
      <xdr:row>39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2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110"/>
  <sheetViews>
    <sheetView zoomScale="115" zoomScaleNormal="115" workbookViewId="0">
      <selection activeCell="C10" sqref="C10"/>
    </sheetView>
  </sheetViews>
  <sheetFormatPr defaultRowHeight="15"/>
  <cols>
    <col min="1" max="1" width="19.28515625" bestFit="1" customWidth="1"/>
    <col min="3" max="13" width="9.140625" customWidth="1"/>
  </cols>
  <sheetData>
    <row r="1" spans="1:14">
      <c r="A1" s="5" t="s">
        <v>14</v>
      </c>
      <c r="B1" s="5"/>
    </row>
    <row r="2" spans="1:14">
      <c r="A2" t="s">
        <v>15</v>
      </c>
      <c r="B2" s="1">
        <v>5.0000000000000001E-4</v>
      </c>
    </row>
    <row r="3" spans="1:14">
      <c r="A3" t="s">
        <v>16</v>
      </c>
      <c r="B3" s="2">
        <v>0.03</v>
      </c>
    </row>
    <row r="4" spans="1:14">
      <c r="A4" t="s">
        <v>18</v>
      </c>
      <c r="B4" s="3">
        <f>B2-(B3^2/2)</f>
        <v>5.0000000000000023E-5</v>
      </c>
    </row>
    <row r="6" spans="1:14">
      <c r="A6" s="4" t="s">
        <v>19</v>
      </c>
      <c r="B6" s="4" t="s">
        <v>1</v>
      </c>
      <c r="C6" s="4" t="s">
        <v>2</v>
      </c>
      <c r="D6" s="4" t="s">
        <v>3</v>
      </c>
      <c r="E6" s="4" t="s">
        <v>4</v>
      </c>
      <c r="F6" s="4" t="s">
        <v>5</v>
      </c>
      <c r="G6" s="4" t="s">
        <v>6</v>
      </c>
      <c r="H6" s="4" t="s">
        <v>7</v>
      </c>
      <c r="I6" s="4" t="s">
        <v>8</v>
      </c>
      <c r="J6" s="4" t="s">
        <v>9</v>
      </c>
      <c r="K6" s="4" t="s">
        <v>10</v>
      </c>
      <c r="L6" s="4" t="s">
        <v>11</v>
      </c>
      <c r="M6" s="4" t="s">
        <v>12</v>
      </c>
      <c r="N6" s="4" t="s">
        <v>13</v>
      </c>
    </row>
    <row r="7" spans="1:14">
      <c r="A7" t="s">
        <v>0</v>
      </c>
      <c r="B7">
        <v>100</v>
      </c>
    </row>
    <row r="8" spans="1:14">
      <c r="A8" t="s">
        <v>17</v>
      </c>
      <c r="C8">
        <f ca="1">NORMSINV(RAND())</f>
        <v>0.93936186974656466</v>
      </c>
      <c r="D8">
        <f t="shared" ref="D8:N8" ca="1" si="0">NORMSINV(RAND())</f>
        <v>-0.78079473279318345</v>
      </c>
      <c r="E8">
        <f t="shared" ca="1" si="0"/>
        <v>-0.62041944638096824</v>
      </c>
      <c r="F8">
        <f t="shared" ca="1" si="0"/>
        <v>2.4145588737501997</v>
      </c>
      <c r="G8">
        <f t="shared" ca="1" si="0"/>
        <v>-2.6222489008917889E-2</v>
      </c>
      <c r="H8">
        <f t="shared" ca="1" si="0"/>
        <v>0.18490231924591</v>
      </c>
      <c r="I8">
        <f t="shared" ca="1" si="0"/>
        <v>-0.5775672314692013</v>
      </c>
      <c r="J8">
        <f t="shared" ca="1" si="0"/>
        <v>0.26854580981631027</v>
      </c>
      <c r="K8">
        <f t="shared" ca="1" si="0"/>
        <v>2.0495354715489951</v>
      </c>
      <c r="L8">
        <f t="shared" ca="1" si="0"/>
        <v>0.74130929143490265</v>
      </c>
      <c r="M8">
        <f t="shared" ca="1" si="0"/>
        <v>0.37617443848880949</v>
      </c>
      <c r="N8">
        <f t="shared" ca="1" si="0"/>
        <v>-1.7649556759874354</v>
      </c>
    </row>
    <row r="9" spans="1:14">
      <c r="A9" t="s">
        <v>20</v>
      </c>
      <c r="B9">
        <f>B7</f>
        <v>100</v>
      </c>
      <c r="C9">
        <f ca="1">B7*EXP($B$4+$B$3*SQRT(1)*C8)</f>
        <v>102.86331232366123</v>
      </c>
      <c r="D9">
        <f ca="1">C9*EXP($B$4+$B$3*SQRT(1)*D8)</f>
        <v>100.48688285214725</v>
      </c>
      <c r="E9">
        <f t="shared" ref="E9:N9" ca="1" si="1">D9*EXP($B$4+$B$3*SQRT(1)*E8)</f>
        <v>98.63879244163418</v>
      </c>
      <c r="F9">
        <f t="shared" ca="1" si="1"/>
        <v>106.05431652509046</v>
      </c>
      <c r="G9">
        <f t="shared" ca="1" si="1"/>
        <v>105.97621776665439</v>
      </c>
      <c r="H9">
        <f t="shared" ca="1" si="1"/>
        <v>106.57103710080732</v>
      </c>
      <c r="I9">
        <f t="shared" ca="1" si="1"/>
        <v>104.74562175923009</v>
      </c>
      <c r="J9">
        <f t="shared" ca="1" si="1"/>
        <v>105.59817988385659</v>
      </c>
      <c r="K9">
        <f t="shared" ca="1" si="1"/>
        <v>112.30037481056357</v>
      </c>
      <c r="L9">
        <f t="shared" ca="1" si="1"/>
        <v>114.83157367287781</v>
      </c>
      <c r="M9">
        <f t="shared" ca="1" si="1"/>
        <v>116.14062149880763</v>
      </c>
      <c r="N9">
        <f t="shared" ca="1" si="1"/>
        <v>110.15660563927909</v>
      </c>
    </row>
    <row r="10" spans="1:14">
      <c r="A10" t="s">
        <v>21</v>
      </c>
      <c r="B10">
        <f>$B$7</f>
        <v>100</v>
      </c>
      <c r="C10">
        <f ca="1">B10*EXP($B$4+$B$3*SQRT(1)*NORMSINV(RAND()))</f>
        <v>101.25012784550623</v>
      </c>
      <c r="D10">
        <f t="shared" ref="D10:N10" ca="1" si="2">C10*EXP($B$4+$B$3*SQRT(1)*NORMSINV(RAND()))</f>
        <v>103.37161755759837</v>
      </c>
      <c r="E10">
        <f t="shared" ca="1" si="2"/>
        <v>104.47835720930924</v>
      </c>
      <c r="F10">
        <f t="shared" ca="1" si="2"/>
        <v>103.2143669157948</v>
      </c>
      <c r="G10">
        <f t="shared" ca="1" si="2"/>
        <v>102.84390705591464</v>
      </c>
      <c r="H10">
        <f t="shared" ca="1" si="2"/>
        <v>102.91878202852598</v>
      </c>
      <c r="I10">
        <f t="shared" ca="1" si="2"/>
        <v>99.069455288589282</v>
      </c>
      <c r="J10">
        <f t="shared" ca="1" si="2"/>
        <v>100.16202078589856</v>
      </c>
      <c r="K10">
        <f t="shared" ca="1" si="2"/>
        <v>96.848583824873785</v>
      </c>
      <c r="L10">
        <f t="shared" ca="1" si="2"/>
        <v>93.6035433263595</v>
      </c>
      <c r="M10">
        <f t="shared" ca="1" si="2"/>
        <v>87.673265238581806</v>
      </c>
      <c r="N10">
        <f t="shared" ca="1" si="2"/>
        <v>89.817799817947858</v>
      </c>
    </row>
    <row r="11" spans="1:14">
      <c r="A11" t="s">
        <v>22</v>
      </c>
      <c r="B11">
        <f t="shared" ref="B11:B74" si="3">$B$7</f>
        <v>100</v>
      </c>
      <c r="C11">
        <f t="shared" ref="C11:N11" ca="1" si="4">B11*EXP($B$4+$B$3*SQRT(1)*NORMSINV(RAND()))</f>
        <v>100.90833318748491</v>
      </c>
      <c r="D11">
        <f t="shared" ca="1" si="4"/>
        <v>107.13450544524834</v>
      </c>
      <c r="E11">
        <f t="shared" ca="1" si="4"/>
        <v>105.01697708052792</v>
      </c>
      <c r="F11">
        <f t="shared" ca="1" si="4"/>
        <v>100.12976421950164</v>
      </c>
      <c r="G11">
        <f t="shared" ca="1" si="4"/>
        <v>100.9448374384275</v>
      </c>
      <c r="H11">
        <f t="shared" ca="1" si="4"/>
        <v>101.23389071008503</v>
      </c>
      <c r="I11">
        <f t="shared" ca="1" si="4"/>
        <v>93.46597629891086</v>
      </c>
      <c r="J11">
        <f t="shared" ca="1" si="4"/>
        <v>93.744090676766561</v>
      </c>
      <c r="K11">
        <f t="shared" ca="1" si="4"/>
        <v>95.580015119614714</v>
      </c>
      <c r="L11">
        <f t="shared" ca="1" si="4"/>
        <v>93.20788772170728</v>
      </c>
      <c r="M11">
        <f t="shared" ca="1" si="4"/>
        <v>93.236361602759615</v>
      </c>
      <c r="N11">
        <f t="shared" ca="1" si="4"/>
        <v>88.398123136955476</v>
      </c>
    </row>
    <row r="12" spans="1:14">
      <c r="A12" t="s">
        <v>23</v>
      </c>
      <c r="B12">
        <f t="shared" si="3"/>
        <v>100</v>
      </c>
      <c r="C12">
        <f t="shared" ref="C12:N12" ca="1" si="5">B12*EXP($B$4+$B$3*SQRT(1)*NORMSINV(RAND()))</f>
        <v>98.596457142752286</v>
      </c>
      <c r="D12">
        <f t="shared" ca="1" si="5"/>
        <v>91.89742330560675</v>
      </c>
      <c r="E12">
        <f t="shared" ca="1" si="5"/>
        <v>90.806936648126282</v>
      </c>
      <c r="F12">
        <f t="shared" ca="1" si="5"/>
        <v>89.138615935298262</v>
      </c>
      <c r="G12">
        <f t="shared" ca="1" si="5"/>
        <v>89.209080355121174</v>
      </c>
      <c r="H12">
        <f t="shared" ca="1" si="5"/>
        <v>89.860130585024521</v>
      </c>
      <c r="I12">
        <f t="shared" ca="1" si="5"/>
        <v>87.70550915624213</v>
      </c>
      <c r="J12">
        <f t="shared" ca="1" si="5"/>
        <v>88.202331259887345</v>
      </c>
      <c r="K12">
        <f t="shared" ca="1" si="5"/>
        <v>84.908362342170278</v>
      </c>
      <c r="L12">
        <f t="shared" ca="1" si="5"/>
        <v>87.951308663510801</v>
      </c>
      <c r="M12">
        <f t="shared" ca="1" si="5"/>
        <v>91.781735211452542</v>
      </c>
      <c r="N12">
        <f t="shared" ca="1" si="5"/>
        <v>94.070266028566436</v>
      </c>
    </row>
    <row r="13" spans="1:14">
      <c r="A13" t="s">
        <v>24</v>
      </c>
      <c r="B13">
        <f t="shared" si="3"/>
        <v>100</v>
      </c>
      <c r="C13">
        <f t="shared" ref="C13:N13" ca="1" si="6">B13*EXP($B$4+$B$3*SQRT(1)*NORMSINV(RAND()))</f>
        <v>100.50520619142307</v>
      </c>
      <c r="D13">
        <f t="shared" ca="1" si="6"/>
        <v>104.52620684063537</v>
      </c>
      <c r="E13">
        <f t="shared" ca="1" si="6"/>
        <v>103.06869589833165</v>
      </c>
      <c r="F13">
        <f t="shared" ca="1" si="6"/>
        <v>101.04878250600849</v>
      </c>
      <c r="G13">
        <f t="shared" ca="1" si="6"/>
        <v>101.38716029923106</v>
      </c>
      <c r="H13">
        <f t="shared" ca="1" si="6"/>
        <v>103.13305024055803</v>
      </c>
      <c r="I13">
        <f t="shared" ca="1" si="6"/>
        <v>106.60965197836772</v>
      </c>
      <c r="J13">
        <f t="shared" ca="1" si="6"/>
        <v>105.28227209539743</v>
      </c>
      <c r="K13">
        <f t="shared" ca="1" si="6"/>
        <v>110.18706789556815</v>
      </c>
      <c r="L13">
        <f t="shared" ca="1" si="6"/>
        <v>117.97676005597968</v>
      </c>
      <c r="M13">
        <f t="shared" ca="1" si="6"/>
        <v>119.49987851638731</v>
      </c>
      <c r="N13">
        <f t="shared" ca="1" si="6"/>
        <v>121.28563303804154</v>
      </c>
    </row>
    <row r="14" spans="1:14">
      <c r="A14" t="s">
        <v>25</v>
      </c>
      <c r="B14">
        <f t="shared" si="3"/>
        <v>100</v>
      </c>
      <c r="C14">
        <f t="shared" ref="C14:N14" ca="1" si="7">B14*EXP($B$4+$B$3*SQRT(1)*NORMSINV(RAND()))</f>
        <v>103.36410356625811</v>
      </c>
      <c r="D14">
        <f t="shared" ca="1" si="7"/>
        <v>104.26831944012994</v>
      </c>
      <c r="E14">
        <f t="shared" ca="1" si="7"/>
        <v>102.39149383787168</v>
      </c>
      <c r="F14">
        <f t="shared" ca="1" si="7"/>
        <v>103.21915938521538</v>
      </c>
      <c r="G14">
        <f t="shared" ca="1" si="7"/>
        <v>98.609343431794571</v>
      </c>
      <c r="H14">
        <f t="shared" ca="1" si="7"/>
        <v>95.249735918535947</v>
      </c>
      <c r="I14">
        <f t="shared" ca="1" si="7"/>
        <v>95.380257775340311</v>
      </c>
      <c r="J14">
        <f t="shared" ca="1" si="7"/>
        <v>96.523715105111009</v>
      </c>
      <c r="K14">
        <f t="shared" ca="1" si="7"/>
        <v>95.933270910944458</v>
      </c>
      <c r="L14">
        <f t="shared" ca="1" si="7"/>
        <v>96.612231379524445</v>
      </c>
      <c r="M14">
        <f t="shared" ca="1" si="7"/>
        <v>95.485254693566816</v>
      </c>
      <c r="N14">
        <f t="shared" ca="1" si="7"/>
        <v>100.15401675032632</v>
      </c>
    </row>
    <row r="15" spans="1:14">
      <c r="A15" t="s">
        <v>26</v>
      </c>
      <c r="B15">
        <f t="shared" si="3"/>
        <v>100</v>
      </c>
      <c r="C15">
        <f t="shared" ref="C15:N15" ca="1" si="8">B15*EXP($B$4+$B$3*SQRT(1)*NORMSINV(RAND()))</f>
        <v>101.75790111894061</v>
      </c>
      <c r="D15">
        <f t="shared" ca="1" si="8"/>
        <v>99.279784346497493</v>
      </c>
      <c r="E15">
        <f t="shared" ca="1" si="8"/>
        <v>95.985873715794185</v>
      </c>
      <c r="F15">
        <f t="shared" ca="1" si="8"/>
        <v>94.805114027501574</v>
      </c>
      <c r="G15">
        <f t="shared" ca="1" si="8"/>
        <v>95.085458162790587</v>
      </c>
      <c r="H15">
        <f t="shared" ca="1" si="8"/>
        <v>94.424469340709862</v>
      </c>
      <c r="I15">
        <f t="shared" ca="1" si="8"/>
        <v>100.03615800363259</v>
      </c>
      <c r="J15">
        <f t="shared" ca="1" si="8"/>
        <v>96.408510073557821</v>
      </c>
      <c r="K15">
        <f t="shared" ca="1" si="8"/>
        <v>94.007372573402591</v>
      </c>
      <c r="L15">
        <f t="shared" ca="1" si="8"/>
        <v>93.156043378998149</v>
      </c>
      <c r="M15">
        <f t="shared" ca="1" si="8"/>
        <v>90.529092044127609</v>
      </c>
      <c r="N15">
        <f t="shared" ca="1" si="8"/>
        <v>89.230517866267405</v>
      </c>
    </row>
    <row r="16" spans="1:14">
      <c r="A16" t="s">
        <v>27</v>
      </c>
      <c r="B16">
        <f t="shared" si="3"/>
        <v>100</v>
      </c>
      <c r="C16">
        <f t="shared" ref="C16:N16" ca="1" si="9">B16*EXP($B$4+$B$3*SQRT(1)*NORMSINV(RAND()))</f>
        <v>100.86024386066879</v>
      </c>
      <c r="D16">
        <f t="shared" ca="1" si="9"/>
        <v>98.204320628755056</v>
      </c>
      <c r="E16">
        <f t="shared" ca="1" si="9"/>
        <v>93.215479452532534</v>
      </c>
      <c r="F16">
        <f t="shared" ca="1" si="9"/>
        <v>94.57865465383901</v>
      </c>
      <c r="G16">
        <f t="shared" ca="1" si="9"/>
        <v>97.94731984016191</v>
      </c>
      <c r="H16">
        <f t="shared" ca="1" si="9"/>
        <v>101.67718414709833</v>
      </c>
      <c r="I16">
        <f t="shared" ca="1" si="9"/>
        <v>104.76357873517007</v>
      </c>
      <c r="J16">
        <f t="shared" ca="1" si="9"/>
        <v>107.56459098674439</v>
      </c>
      <c r="K16">
        <f t="shared" ca="1" si="9"/>
        <v>103.73825646542782</v>
      </c>
      <c r="L16">
        <f t="shared" ca="1" si="9"/>
        <v>102.58953358149483</v>
      </c>
      <c r="M16">
        <f t="shared" ca="1" si="9"/>
        <v>103.66321349637174</v>
      </c>
      <c r="N16">
        <f t="shared" ca="1" si="9"/>
        <v>106.85975790686105</v>
      </c>
    </row>
    <row r="17" spans="1:14">
      <c r="A17" t="s">
        <v>28</v>
      </c>
      <c r="B17">
        <f t="shared" si="3"/>
        <v>100</v>
      </c>
      <c r="C17">
        <f t="shared" ref="C17:N17" ca="1" si="10">B17*EXP($B$4+$B$3*SQRT(1)*NORMSINV(RAND()))</f>
        <v>103.59401998575493</v>
      </c>
      <c r="D17">
        <f t="shared" ca="1" si="10"/>
        <v>102.04276895865857</v>
      </c>
      <c r="E17">
        <f t="shared" ca="1" si="10"/>
        <v>101.4893080100841</v>
      </c>
      <c r="F17">
        <f t="shared" ca="1" si="10"/>
        <v>98.009989668166099</v>
      </c>
      <c r="G17">
        <f t="shared" ca="1" si="10"/>
        <v>100.52965464624951</v>
      </c>
      <c r="H17">
        <f t="shared" ca="1" si="10"/>
        <v>101.92553569315896</v>
      </c>
      <c r="I17">
        <f t="shared" ca="1" si="10"/>
        <v>96.758901801483233</v>
      </c>
      <c r="J17">
        <f t="shared" ca="1" si="10"/>
        <v>97.111194876533631</v>
      </c>
      <c r="K17">
        <f t="shared" ca="1" si="10"/>
        <v>93.135664649971957</v>
      </c>
      <c r="L17">
        <f t="shared" ca="1" si="10"/>
        <v>95.86324135010517</v>
      </c>
      <c r="M17">
        <f t="shared" ca="1" si="10"/>
        <v>94.65658930034067</v>
      </c>
      <c r="N17">
        <f t="shared" ca="1" si="10"/>
        <v>91.148931124858805</v>
      </c>
    </row>
    <row r="18" spans="1:14">
      <c r="A18" t="s">
        <v>29</v>
      </c>
      <c r="B18">
        <f t="shared" si="3"/>
        <v>100</v>
      </c>
      <c r="C18">
        <f t="shared" ref="C18:N18" ca="1" si="11">B18*EXP($B$4+$B$3*SQRT(1)*NORMSINV(RAND()))</f>
        <v>104.1743039184766</v>
      </c>
      <c r="D18">
        <f t="shared" ca="1" si="11"/>
        <v>104.50281818311367</v>
      </c>
      <c r="E18">
        <f t="shared" ca="1" si="11"/>
        <v>105.17745707585226</v>
      </c>
      <c r="F18">
        <f t="shared" ca="1" si="11"/>
        <v>104.90240267409578</v>
      </c>
      <c r="G18">
        <f t="shared" ca="1" si="11"/>
        <v>109.91483765901843</v>
      </c>
      <c r="H18">
        <f t="shared" ca="1" si="11"/>
        <v>111.31365534832781</v>
      </c>
      <c r="I18">
        <f t="shared" ca="1" si="11"/>
        <v>111.91631882663037</v>
      </c>
      <c r="J18">
        <f t="shared" ca="1" si="11"/>
        <v>113.48580232360686</v>
      </c>
      <c r="K18">
        <f t="shared" ca="1" si="11"/>
        <v>112.09513406773297</v>
      </c>
      <c r="L18">
        <f t="shared" ca="1" si="11"/>
        <v>108.33646128014566</v>
      </c>
      <c r="M18">
        <f t="shared" ca="1" si="11"/>
        <v>103.87802209898221</v>
      </c>
      <c r="N18">
        <f t="shared" ca="1" si="11"/>
        <v>105.34251658604157</v>
      </c>
    </row>
    <row r="19" spans="1:14">
      <c r="A19" t="s">
        <v>30</v>
      </c>
      <c r="B19">
        <f t="shared" si="3"/>
        <v>100</v>
      </c>
      <c r="C19">
        <f t="shared" ref="C19:N19" ca="1" si="12">B19*EXP($B$4+$B$3*SQRT(1)*NORMSINV(RAND()))</f>
        <v>105.41349787013441</v>
      </c>
      <c r="D19">
        <f t="shared" ca="1" si="12"/>
        <v>106.00635411756028</v>
      </c>
      <c r="E19">
        <f t="shared" ca="1" si="12"/>
        <v>111.56724949665157</v>
      </c>
      <c r="F19">
        <f t="shared" ca="1" si="12"/>
        <v>115.03556795881897</v>
      </c>
      <c r="G19">
        <f t="shared" ca="1" si="12"/>
        <v>114.5283285947889</v>
      </c>
      <c r="H19">
        <f t="shared" ca="1" si="12"/>
        <v>118.68818882389584</v>
      </c>
      <c r="I19">
        <f t="shared" ca="1" si="12"/>
        <v>121.77774627954696</v>
      </c>
      <c r="J19">
        <f t="shared" ca="1" si="12"/>
        <v>125.19351283331315</v>
      </c>
      <c r="K19">
        <f t="shared" ca="1" si="12"/>
        <v>126.52814146067441</v>
      </c>
      <c r="L19">
        <f t="shared" ca="1" si="12"/>
        <v>129.47203510671824</v>
      </c>
      <c r="M19">
        <f t="shared" ca="1" si="12"/>
        <v>126.57145593656833</v>
      </c>
      <c r="N19">
        <f t="shared" ca="1" si="12"/>
        <v>129.23889329340992</v>
      </c>
    </row>
    <row r="20" spans="1:14">
      <c r="A20" t="s">
        <v>31</v>
      </c>
      <c r="B20">
        <f t="shared" si="3"/>
        <v>100</v>
      </c>
      <c r="C20">
        <f t="shared" ref="C20:N20" ca="1" si="13">B20*EXP($B$4+$B$3*SQRT(1)*NORMSINV(RAND()))</f>
        <v>99.944887521361295</v>
      </c>
      <c r="D20">
        <f t="shared" ca="1" si="13"/>
        <v>101.0774937532063</v>
      </c>
      <c r="E20">
        <f t="shared" ca="1" si="13"/>
        <v>101.15451193724056</v>
      </c>
      <c r="F20">
        <f t="shared" ca="1" si="13"/>
        <v>100.80351807893209</v>
      </c>
      <c r="G20">
        <f t="shared" ca="1" si="13"/>
        <v>101.31940191859567</v>
      </c>
      <c r="H20">
        <f t="shared" ca="1" si="13"/>
        <v>99.633130444069778</v>
      </c>
      <c r="I20">
        <f t="shared" ca="1" si="13"/>
        <v>98.302135653504692</v>
      </c>
      <c r="J20">
        <f t="shared" ca="1" si="13"/>
        <v>99.118140811079229</v>
      </c>
      <c r="K20">
        <f t="shared" ca="1" si="13"/>
        <v>102.98962398378247</v>
      </c>
      <c r="L20">
        <f t="shared" ca="1" si="13"/>
        <v>105.39179397552142</v>
      </c>
      <c r="M20">
        <f t="shared" ca="1" si="13"/>
        <v>106.25140297388168</v>
      </c>
      <c r="N20">
        <f t="shared" ca="1" si="13"/>
        <v>107.73292716932814</v>
      </c>
    </row>
    <row r="21" spans="1:14">
      <c r="A21" t="s">
        <v>32</v>
      </c>
      <c r="B21">
        <f t="shared" si="3"/>
        <v>100</v>
      </c>
      <c r="C21">
        <f t="shared" ref="C21:N21" ca="1" si="14">B21*EXP($B$4+$B$3*SQRT(1)*NORMSINV(RAND()))</f>
        <v>100.20631278470304</v>
      </c>
      <c r="D21">
        <f t="shared" ca="1" si="14"/>
        <v>103.02200247955534</v>
      </c>
      <c r="E21">
        <f t="shared" ca="1" si="14"/>
        <v>102.23888556865995</v>
      </c>
      <c r="F21">
        <f t="shared" ca="1" si="14"/>
        <v>100.61845115319748</v>
      </c>
      <c r="G21">
        <f t="shared" ca="1" si="14"/>
        <v>105.51212623285929</v>
      </c>
      <c r="H21">
        <f t="shared" ca="1" si="14"/>
        <v>102.6513110536994</v>
      </c>
      <c r="I21">
        <f t="shared" ca="1" si="14"/>
        <v>102.1989391093657</v>
      </c>
      <c r="J21">
        <f t="shared" ca="1" si="14"/>
        <v>100.48163214475662</v>
      </c>
      <c r="K21">
        <f t="shared" ca="1" si="14"/>
        <v>101.73162724382223</v>
      </c>
      <c r="L21">
        <f t="shared" ca="1" si="14"/>
        <v>100.82673049332743</v>
      </c>
      <c r="M21">
        <f t="shared" ca="1" si="14"/>
        <v>101.36792306777589</v>
      </c>
      <c r="N21">
        <f t="shared" ca="1" si="14"/>
        <v>93.735438885545349</v>
      </c>
    </row>
    <row r="22" spans="1:14">
      <c r="A22" t="s">
        <v>33</v>
      </c>
      <c r="B22">
        <f t="shared" si="3"/>
        <v>100</v>
      </c>
      <c r="C22">
        <f t="shared" ref="C22:N22" ca="1" si="15">B22*EXP($B$4+$B$3*SQRT(1)*NORMSINV(RAND()))</f>
        <v>94.892570356360309</v>
      </c>
      <c r="D22">
        <f t="shared" ca="1" si="15"/>
        <v>97.396892341769387</v>
      </c>
      <c r="E22">
        <f t="shared" ca="1" si="15"/>
        <v>96.478949345612889</v>
      </c>
      <c r="F22">
        <f t="shared" ca="1" si="15"/>
        <v>99.276176932228751</v>
      </c>
      <c r="G22">
        <f t="shared" ca="1" si="15"/>
        <v>94.308552026884712</v>
      </c>
      <c r="H22">
        <f t="shared" ca="1" si="15"/>
        <v>91.289829172650741</v>
      </c>
      <c r="I22">
        <f t="shared" ca="1" si="15"/>
        <v>94.094654626930549</v>
      </c>
      <c r="J22">
        <f t="shared" ca="1" si="15"/>
        <v>94.369761777518264</v>
      </c>
      <c r="K22">
        <f t="shared" ca="1" si="15"/>
        <v>92.252464286954051</v>
      </c>
      <c r="L22">
        <f t="shared" ca="1" si="15"/>
        <v>88.579394538751515</v>
      </c>
      <c r="M22">
        <f t="shared" ca="1" si="15"/>
        <v>90.555965472499395</v>
      </c>
      <c r="N22">
        <f t="shared" ca="1" si="15"/>
        <v>86.52929466951575</v>
      </c>
    </row>
    <row r="23" spans="1:14">
      <c r="A23" t="s">
        <v>34</v>
      </c>
      <c r="B23">
        <f t="shared" si="3"/>
        <v>100</v>
      </c>
      <c r="C23">
        <f t="shared" ref="C23:N23" ca="1" si="16">B23*EXP($B$4+$B$3*SQRT(1)*NORMSINV(RAND()))</f>
        <v>95.115295608076849</v>
      </c>
      <c r="D23">
        <f t="shared" ca="1" si="16"/>
        <v>94.882467428495161</v>
      </c>
      <c r="E23">
        <f t="shared" ca="1" si="16"/>
        <v>93.750054388164159</v>
      </c>
      <c r="F23">
        <f t="shared" ca="1" si="16"/>
        <v>94.328455500678757</v>
      </c>
      <c r="G23">
        <f t="shared" ca="1" si="16"/>
        <v>94.18847503793566</v>
      </c>
      <c r="H23">
        <f t="shared" ca="1" si="16"/>
        <v>95.951989067117637</v>
      </c>
      <c r="I23">
        <f t="shared" ca="1" si="16"/>
        <v>94.783781801286267</v>
      </c>
      <c r="J23">
        <f t="shared" ca="1" si="16"/>
        <v>95.102270207707832</v>
      </c>
      <c r="K23">
        <f t="shared" ca="1" si="16"/>
        <v>89.232942705734743</v>
      </c>
      <c r="L23">
        <f t="shared" ca="1" si="16"/>
        <v>89.968302988381495</v>
      </c>
      <c r="M23">
        <f t="shared" ca="1" si="16"/>
        <v>87.674124198428416</v>
      </c>
      <c r="N23">
        <f t="shared" ca="1" si="16"/>
        <v>88.626084966651476</v>
      </c>
    </row>
    <row r="24" spans="1:14">
      <c r="A24" t="s">
        <v>35</v>
      </c>
      <c r="B24">
        <f t="shared" si="3"/>
        <v>100</v>
      </c>
      <c r="C24">
        <f t="shared" ref="C24:N24" ca="1" si="17">B24*EXP($B$4+$B$3*SQRT(1)*NORMSINV(RAND()))</f>
        <v>103.48991836370574</v>
      </c>
      <c r="D24">
        <f t="shared" ca="1" si="17"/>
        <v>106.91499147944712</v>
      </c>
      <c r="E24">
        <f t="shared" ca="1" si="17"/>
        <v>106.49352954409059</v>
      </c>
      <c r="F24">
        <f t="shared" ca="1" si="17"/>
        <v>108.50482733600853</v>
      </c>
      <c r="G24">
        <f t="shared" ca="1" si="17"/>
        <v>114.77873179226719</v>
      </c>
      <c r="H24">
        <f t="shared" ca="1" si="17"/>
        <v>119.10732413108127</v>
      </c>
      <c r="I24">
        <f t="shared" ca="1" si="17"/>
        <v>117.07071016045991</v>
      </c>
      <c r="J24">
        <f t="shared" ca="1" si="17"/>
        <v>121.58535197409375</v>
      </c>
      <c r="K24">
        <f t="shared" ca="1" si="17"/>
        <v>118.17884146949532</v>
      </c>
      <c r="L24">
        <f t="shared" ca="1" si="17"/>
        <v>118.02631669264115</v>
      </c>
      <c r="M24">
        <f t="shared" ca="1" si="17"/>
        <v>118.47355877116294</v>
      </c>
      <c r="N24">
        <f t="shared" ca="1" si="17"/>
        <v>117.35261529271723</v>
      </c>
    </row>
    <row r="25" spans="1:14">
      <c r="A25" t="s">
        <v>36</v>
      </c>
      <c r="B25">
        <f t="shared" si="3"/>
        <v>100</v>
      </c>
      <c r="C25">
        <f t="shared" ref="C25:N25" ca="1" si="18">B25*EXP($B$4+$B$3*SQRT(1)*NORMSINV(RAND()))</f>
        <v>99.044926100596285</v>
      </c>
      <c r="D25">
        <f t="shared" ca="1" si="18"/>
        <v>100.11074779766643</v>
      </c>
      <c r="E25">
        <f t="shared" ca="1" si="18"/>
        <v>97.872958045674437</v>
      </c>
      <c r="F25">
        <f t="shared" ca="1" si="18"/>
        <v>93.967582064244894</v>
      </c>
      <c r="G25">
        <f t="shared" ca="1" si="18"/>
        <v>94.130342458900444</v>
      </c>
      <c r="H25">
        <f t="shared" ca="1" si="18"/>
        <v>98.081238060750138</v>
      </c>
      <c r="I25">
        <f t="shared" ca="1" si="18"/>
        <v>94.218205147148069</v>
      </c>
      <c r="J25">
        <f t="shared" ca="1" si="18"/>
        <v>94.77022849276122</v>
      </c>
      <c r="K25">
        <f t="shared" ca="1" si="18"/>
        <v>97.817681929630751</v>
      </c>
      <c r="L25">
        <f t="shared" ca="1" si="18"/>
        <v>98.495149800834625</v>
      </c>
      <c r="M25">
        <f t="shared" ca="1" si="18"/>
        <v>97.727851004836978</v>
      </c>
      <c r="N25">
        <f t="shared" ca="1" si="18"/>
        <v>102.98822116457259</v>
      </c>
    </row>
    <row r="26" spans="1:14">
      <c r="A26" t="s">
        <v>37</v>
      </c>
      <c r="B26">
        <f t="shared" si="3"/>
        <v>100</v>
      </c>
      <c r="C26">
        <f t="shared" ref="C26:N26" ca="1" si="19">B26*EXP($B$4+$B$3*SQRT(1)*NORMSINV(RAND()))</f>
        <v>98.889445136726764</v>
      </c>
      <c r="D26">
        <f t="shared" ca="1" si="19"/>
        <v>98.207087097469866</v>
      </c>
      <c r="E26">
        <f t="shared" ca="1" si="19"/>
        <v>99.146468171838038</v>
      </c>
      <c r="F26">
        <f t="shared" ca="1" si="19"/>
        <v>100.13749592668626</v>
      </c>
      <c r="G26">
        <f t="shared" ca="1" si="19"/>
        <v>99.764555029654289</v>
      </c>
      <c r="H26">
        <f t="shared" ca="1" si="19"/>
        <v>100.19942869624407</v>
      </c>
      <c r="I26">
        <f t="shared" ca="1" si="19"/>
        <v>100.23608459358606</v>
      </c>
      <c r="J26">
        <f t="shared" ca="1" si="19"/>
        <v>98.134484736361614</v>
      </c>
      <c r="K26">
        <f t="shared" ca="1" si="19"/>
        <v>98.363687812719832</v>
      </c>
      <c r="L26">
        <f t="shared" ca="1" si="19"/>
        <v>99.369480163608657</v>
      </c>
      <c r="M26">
        <f t="shared" ca="1" si="19"/>
        <v>95.656180938669849</v>
      </c>
      <c r="N26">
        <f t="shared" ca="1" si="19"/>
        <v>100.54414246626899</v>
      </c>
    </row>
    <row r="27" spans="1:14">
      <c r="A27" t="s">
        <v>38</v>
      </c>
      <c r="B27">
        <f t="shared" si="3"/>
        <v>100</v>
      </c>
      <c r="C27">
        <f t="shared" ref="C27:N27" ca="1" si="20">B27*EXP($B$4+$B$3*SQRT(1)*NORMSINV(RAND()))</f>
        <v>96.891510435276587</v>
      </c>
      <c r="D27">
        <f t="shared" ca="1" si="20"/>
        <v>96.855011842055674</v>
      </c>
      <c r="E27">
        <f t="shared" ca="1" si="20"/>
        <v>102.256733562359</v>
      </c>
      <c r="F27">
        <f t="shared" ca="1" si="20"/>
        <v>106.56266290893498</v>
      </c>
      <c r="G27">
        <f t="shared" ca="1" si="20"/>
        <v>108.2236423445639</v>
      </c>
      <c r="H27">
        <f t="shared" ca="1" si="20"/>
        <v>106.18006619245102</v>
      </c>
      <c r="I27">
        <f t="shared" ca="1" si="20"/>
        <v>99.932175834368962</v>
      </c>
      <c r="J27">
        <f t="shared" ca="1" si="20"/>
        <v>104.46627488089175</v>
      </c>
      <c r="K27">
        <f t="shared" ca="1" si="20"/>
        <v>106.46426694018274</v>
      </c>
      <c r="L27">
        <f t="shared" ca="1" si="20"/>
        <v>110.7614806429854</v>
      </c>
      <c r="M27">
        <f t="shared" ca="1" si="20"/>
        <v>112.20650274184497</v>
      </c>
      <c r="N27">
        <f t="shared" ca="1" si="20"/>
        <v>109.98710957489114</v>
      </c>
    </row>
    <row r="28" spans="1:14">
      <c r="A28" t="s">
        <v>39</v>
      </c>
      <c r="B28">
        <f t="shared" si="3"/>
        <v>100</v>
      </c>
      <c r="C28">
        <f t="shared" ref="C28:N28" ca="1" si="21">B28*EXP($B$4+$B$3*SQRT(1)*NORMSINV(RAND()))</f>
        <v>101.10186707345528</v>
      </c>
      <c r="D28">
        <f t="shared" ca="1" si="21"/>
        <v>100.1786670895065</v>
      </c>
      <c r="E28">
        <f t="shared" ca="1" si="21"/>
        <v>103.07078878075372</v>
      </c>
      <c r="F28">
        <f t="shared" ca="1" si="21"/>
        <v>101.36296258188568</v>
      </c>
      <c r="G28">
        <f t="shared" ca="1" si="21"/>
        <v>99.944976381431601</v>
      </c>
      <c r="H28">
        <f t="shared" ca="1" si="21"/>
        <v>97.755685069212404</v>
      </c>
      <c r="I28">
        <f t="shared" ca="1" si="21"/>
        <v>90.197234452685734</v>
      </c>
      <c r="J28">
        <f t="shared" ca="1" si="21"/>
        <v>94.141748935504225</v>
      </c>
      <c r="K28">
        <f t="shared" ca="1" si="21"/>
        <v>94.468397500407406</v>
      </c>
      <c r="L28">
        <f t="shared" ca="1" si="21"/>
        <v>95.892378058004184</v>
      </c>
      <c r="M28">
        <f t="shared" ca="1" si="21"/>
        <v>95.739985013980885</v>
      </c>
      <c r="N28">
        <f t="shared" ca="1" si="21"/>
        <v>91.634628155184743</v>
      </c>
    </row>
    <row r="29" spans="1:14">
      <c r="A29" t="s">
        <v>40</v>
      </c>
      <c r="B29">
        <f t="shared" si="3"/>
        <v>100</v>
      </c>
      <c r="C29">
        <f t="shared" ref="C29:N29" ca="1" si="22">B29*EXP($B$4+$B$3*SQRT(1)*NORMSINV(RAND()))</f>
        <v>100.2450953105301</v>
      </c>
      <c r="D29">
        <f t="shared" ca="1" si="22"/>
        <v>97.058452976206752</v>
      </c>
      <c r="E29">
        <f t="shared" ca="1" si="22"/>
        <v>99.683261264826115</v>
      </c>
      <c r="F29">
        <f t="shared" ca="1" si="22"/>
        <v>104.35971492154634</v>
      </c>
      <c r="G29">
        <f t="shared" ca="1" si="22"/>
        <v>107.11645804663523</v>
      </c>
      <c r="H29">
        <f t="shared" ca="1" si="22"/>
        <v>112.40768694130094</v>
      </c>
      <c r="I29">
        <f t="shared" ca="1" si="22"/>
        <v>116.5070267301099</v>
      </c>
      <c r="J29">
        <f t="shared" ca="1" si="22"/>
        <v>117.91993137800812</v>
      </c>
      <c r="K29">
        <f t="shared" ca="1" si="22"/>
        <v>121.17399472062037</v>
      </c>
      <c r="L29">
        <f t="shared" ca="1" si="22"/>
        <v>123.12839867807483</v>
      </c>
      <c r="M29">
        <f t="shared" ca="1" si="22"/>
        <v>127.32895051863279</v>
      </c>
      <c r="N29">
        <f t="shared" ca="1" si="22"/>
        <v>120.59645171340571</v>
      </c>
    </row>
    <row r="30" spans="1:14">
      <c r="A30" t="s">
        <v>41</v>
      </c>
      <c r="B30">
        <f t="shared" si="3"/>
        <v>100</v>
      </c>
      <c r="C30">
        <f t="shared" ref="C30:N30" ca="1" si="23">B30*EXP($B$4+$B$3*SQRT(1)*NORMSINV(RAND()))</f>
        <v>94.859020281850121</v>
      </c>
      <c r="D30">
        <f t="shared" ca="1" si="23"/>
        <v>95.8685956242077</v>
      </c>
      <c r="E30">
        <f t="shared" ca="1" si="23"/>
        <v>94.50786124182288</v>
      </c>
      <c r="F30">
        <f t="shared" ca="1" si="23"/>
        <v>97.847539793696541</v>
      </c>
      <c r="G30">
        <f t="shared" ca="1" si="23"/>
        <v>95.936463772829555</v>
      </c>
      <c r="H30">
        <f t="shared" ca="1" si="23"/>
        <v>96.539057699994316</v>
      </c>
      <c r="I30">
        <f t="shared" ca="1" si="23"/>
        <v>92.827266907345859</v>
      </c>
      <c r="J30">
        <f t="shared" ca="1" si="23"/>
        <v>93.910747380684867</v>
      </c>
      <c r="K30">
        <f t="shared" ca="1" si="23"/>
        <v>92.817316311207904</v>
      </c>
      <c r="L30">
        <f t="shared" ca="1" si="23"/>
        <v>95.63291104846185</v>
      </c>
      <c r="M30">
        <f t="shared" ca="1" si="23"/>
        <v>92.67426636076452</v>
      </c>
      <c r="N30">
        <f t="shared" ca="1" si="23"/>
        <v>91.247306616727727</v>
      </c>
    </row>
    <row r="31" spans="1:14">
      <c r="A31" t="s">
        <v>42</v>
      </c>
      <c r="B31">
        <f t="shared" si="3"/>
        <v>100</v>
      </c>
      <c r="C31">
        <f t="shared" ref="C31:N31" ca="1" si="24">B31*EXP($B$4+$B$3*SQRT(1)*NORMSINV(RAND()))</f>
        <v>98.220238085514765</v>
      </c>
      <c r="D31">
        <f t="shared" ca="1" si="24"/>
        <v>97.990400470422031</v>
      </c>
      <c r="E31">
        <f t="shared" ca="1" si="24"/>
        <v>98.723043412166504</v>
      </c>
      <c r="F31">
        <f t="shared" ca="1" si="24"/>
        <v>103.27484407962537</v>
      </c>
      <c r="G31">
        <f t="shared" ca="1" si="24"/>
        <v>101.91274374211183</v>
      </c>
      <c r="H31">
        <f t="shared" ca="1" si="24"/>
        <v>101.39133831213152</v>
      </c>
      <c r="I31">
        <f t="shared" ca="1" si="24"/>
        <v>103.61736252427164</v>
      </c>
      <c r="J31">
        <f t="shared" ca="1" si="24"/>
        <v>99.54096986680527</v>
      </c>
      <c r="K31">
        <f t="shared" ca="1" si="24"/>
        <v>107.54677727066769</v>
      </c>
      <c r="L31">
        <f t="shared" ca="1" si="24"/>
        <v>108.96868480498823</v>
      </c>
      <c r="M31">
        <f t="shared" ca="1" si="24"/>
        <v>116.2294512112101</v>
      </c>
      <c r="N31">
        <f t="shared" ca="1" si="24"/>
        <v>117.5346863917998</v>
      </c>
    </row>
    <row r="32" spans="1:14">
      <c r="A32" t="s">
        <v>43</v>
      </c>
      <c r="B32">
        <f t="shared" si="3"/>
        <v>100</v>
      </c>
      <c r="C32">
        <f t="shared" ref="C32:N32" ca="1" si="25">B32*EXP($B$4+$B$3*SQRT(1)*NORMSINV(RAND()))</f>
        <v>99.325636199424522</v>
      </c>
      <c r="D32">
        <f t="shared" ca="1" si="25"/>
        <v>97.892217788756341</v>
      </c>
      <c r="E32">
        <f t="shared" ca="1" si="25"/>
        <v>93.807556932912334</v>
      </c>
      <c r="F32">
        <f t="shared" ca="1" si="25"/>
        <v>94.143766791216706</v>
      </c>
      <c r="G32">
        <f t="shared" ca="1" si="25"/>
        <v>94.772337423945245</v>
      </c>
      <c r="H32">
        <f t="shared" ca="1" si="25"/>
        <v>93.574102098434096</v>
      </c>
      <c r="I32">
        <f t="shared" ca="1" si="25"/>
        <v>91.747883434380981</v>
      </c>
      <c r="J32">
        <f t="shared" ca="1" si="25"/>
        <v>90.607100337193913</v>
      </c>
      <c r="K32">
        <f t="shared" ca="1" si="25"/>
        <v>89.79299274072109</v>
      </c>
      <c r="L32">
        <f t="shared" ca="1" si="25"/>
        <v>93.05811167175554</v>
      </c>
      <c r="M32">
        <f t="shared" ca="1" si="25"/>
        <v>88.534578915759056</v>
      </c>
      <c r="N32">
        <f t="shared" ca="1" si="25"/>
        <v>88.661041418727521</v>
      </c>
    </row>
    <row r="33" spans="1:14">
      <c r="A33" t="s">
        <v>44</v>
      </c>
      <c r="B33">
        <f t="shared" si="3"/>
        <v>100</v>
      </c>
      <c r="C33">
        <f t="shared" ref="C33:N33" ca="1" si="26">B33*EXP($B$4+$B$3*SQRT(1)*NORMSINV(RAND()))</f>
        <v>101.75240801545571</v>
      </c>
      <c r="D33">
        <f t="shared" ca="1" si="26"/>
        <v>102.47166941655016</v>
      </c>
      <c r="E33">
        <f t="shared" ca="1" si="26"/>
        <v>100.55696049715038</v>
      </c>
      <c r="F33">
        <f t="shared" ca="1" si="26"/>
        <v>99.340122159768342</v>
      </c>
      <c r="G33">
        <f t="shared" ca="1" si="26"/>
        <v>98.376505046290532</v>
      </c>
      <c r="H33">
        <f t="shared" ca="1" si="26"/>
        <v>94.194110093857645</v>
      </c>
      <c r="I33">
        <f t="shared" ca="1" si="26"/>
        <v>93.309449448636798</v>
      </c>
      <c r="J33">
        <f t="shared" ca="1" si="26"/>
        <v>90.078236692740973</v>
      </c>
      <c r="K33">
        <f t="shared" ca="1" si="26"/>
        <v>86.802212211379853</v>
      </c>
      <c r="L33">
        <f t="shared" ca="1" si="26"/>
        <v>85.795609897033373</v>
      </c>
      <c r="M33">
        <f t="shared" ca="1" si="26"/>
        <v>84.143957059394637</v>
      </c>
      <c r="N33">
        <f t="shared" ca="1" si="26"/>
        <v>84.711426549887094</v>
      </c>
    </row>
    <row r="34" spans="1:14">
      <c r="A34" t="s">
        <v>45</v>
      </c>
      <c r="B34">
        <f t="shared" si="3"/>
        <v>100</v>
      </c>
      <c r="C34">
        <f t="shared" ref="C34:N34" ca="1" si="27">B34*EXP($B$4+$B$3*SQRT(1)*NORMSINV(RAND()))</f>
        <v>100.68426418592331</v>
      </c>
      <c r="D34">
        <f t="shared" ca="1" si="27"/>
        <v>100.33417594222719</v>
      </c>
      <c r="E34">
        <f t="shared" ca="1" si="27"/>
        <v>99.199229523246601</v>
      </c>
      <c r="F34">
        <f t="shared" ca="1" si="27"/>
        <v>98.950151905498004</v>
      </c>
      <c r="G34">
        <f t="shared" ca="1" si="27"/>
        <v>94.880479123829403</v>
      </c>
      <c r="H34">
        <f t="shared" ca="1" si="27"/>
        <v>95.283288160596442</v>
      </c>
      <c r="I34">
        <f t="shared" ca="1" si="27"/>
        <v>95.504802945244748</v>
      </c>
      <c r="J34">
        <f t="shared" ca="1" si="27"/>
        <v>89.373403786892382</v>
      </c>
      <c r="K34">
        <f t="shared" ca="1" si="27"/>
        <v>89.321769018354459</v>
      </c>
      <c r="L34">
        <f t="shared" ca="1" si="27"/>
        <v>91.591801943358234</v>
      </c>
      <c r="M34">
        <f t="shared" ca="1" si="27"/>
        <v>94.268721874033943</v>
      </c>
      <c r="N34">
        <f t="shared" ca="1" si="27"/>
        <v>96.599214864937267</v>
      </c>
    </row>
    <row r="35" spans="1:14">
      <c r="A35" t="s">
        <v>46</v>
      </c>
      <c r="B35">
        <f t="shared" si="3"/>
        <v>100</v>
      </c>
      <c r="C35">
        <f t="shared" ref="C35:N35" ca="1" si="28">B35*EXP($B$4+$B$3*SQRT(1)*NORMSINV(RAND()))</f>
        <v>102.10761235683827</v>
      </c>
      <c r="D35">
        <f t="shared" ca="1" si="28"/>
        <v>101.04668032045024</v>
      </c>
      <c r="E35">
        <f t="shared" ca="1" si="28"/>
        <v>99.872386347331883</v>
      </c>
      <c r="F35">
        <f t="shared" ca="1" si="28"/>
        <v>103.09554305709908</v>
      </c>
      <c r="G35">
        <f t="shared" ca="1" si="28"/>
        <v>103.20581194984199</v>
      </c>
      <c r="H35">
        <f t="shared" ca="1" si="28"/>
        <v>106.74305574065419</v>
      </c>
      <c r="I35">
        <f t="shared" ca="1" si="28"/>
        <v>110.2333285064332</v>
      </c>
      <c r="J35">
        <f t="shared" ca="1" si="28"/>
        <v>109.7137587167726</v>
      </c>
      <c r="K35">
        <f t="shared" ca="1" si="28"/>
        <v>111.39550261430618</v>
      </c>
      <c r="L35">
        <f t="shared" ca="1" si="28"/>
        <v>106.09547835392742</v>
      </c>
      <c r="M35">
        <f t="shared" ca="1" si="28"/>
        <v>112.35476564153808</v>
      </c>
      <c r="N35">
        <f t="shared" ca="1" si="28"/>
        <v>114.37514588443756</v>
      </c>
    </row>
    <row r="36" spans="1:14">
      <c r="A36" t="s">
        <v>47</v>
      </c>
      <c r="B36">
        <f t="shared" si="3"/>
        <v>100</v>
      </c>
      <c r="C36">
        <f t="shared" ref="C36:N36" ca="1" si="29">B36*EXP($B$4+$B$3*SQRT(1)*NORMSINV(RAND()))</f>
        <v>96.64510271273646</v>
      </c>
      <c r="D36">
        <f t="shared" ca="1" si="29"/>
        <v>98.543058100191047</v>
      </c>
      <c r="E36">
        <f t="shared" ca="1" si="29"/>
        <v>100.44698168489748</v>
      </c>
      <c r="F36">
        <f t="shared" ca="1" si="29"/>
        <v>102.64237558652384</v>
      </c>
      <c r="G36">
        <f t="shared" ca="1" si="29"/>
        <v>100.95302584607472</v>
      </c>
      <c r="H36">
        <f t="shared" ca="1" si="29"/>
        <v>100.55159512020295</v>
      </c>
      <c r="I36">
        <f t="shared" ca="1" si="29"/>
        <v>97.091245125441247</v>
      </c>
      <c r="J36">
        <f t="shared" ca="1" si="29"/>
        <v>98.163406176382878</v>
      </c>
      <c r="K36">
        <f t="shared" ca="1" si="29"/>
        <v>93.900269553205845</v>
      </c>
      <c r="L36">
        <f t="shared" ca="1" si="29"/>
        <v>93.456287369102824</v>
      </c>
      <c r="M36">
        <f t="shared" ca="1" si="29"/>
        <v>92.208829454826869</v>
      </c>
      <c r="N36">
        <f t="shared" ca="1" si="29"/>
        <v>96.298920353823135</v>
      </c>
    </row>
    <row r="37" spans="1:14">
      <c r="A37" t="s">
        <v>48</v>
      </c>
      <c r="B37">
        <f t="shared" si="3"/>
        <v>100</v>
      </c>
      <c r="C37">
        <f t="shared" ref="C37:N37" ca="1" si="30">B37*EXP($B$4+$B$3*SQRT(1)*NORMSINV(RAND()))</f>
        <v>101.82122871752901</v>
      </c>
      <c r="D37">
        <f t="shared" ca="1" si="30"/>
        <v>103.21373653151022</v>
      </c>
      <c r="E37">
        <f t="shared" ca="1" si="30"/>
        <v>108.26829488044538</v>
      </c>
      <c r="F37">
        <f t="shared" ca="1" si="30"/>
        <v>114.49397035333701</v>
      </c>
      <c r="G37">
        <f t="shared" ca="1" si="30"/>
        <v>113.3817004048211</v>
      </c>
      <c r="H37">
        <f t="shared" ca="1" si="30"/>
        <v>114.68418020207181</v>
      </c>
      <c r="I37">
        <f t="shared" ca="1" si="30"/>
        <v>115.60688505877833</v>
      </c>
      <c r="J37">
        <f t="shared" ca="1" si="30"/>
        <v>115.07911887952724</v>
      </c>
      <c r="K37">
        <f t="shared" ca="1" si="30"/>
        <v>117.77989265996386</v>
      </c>
      <c r="L37">
        <f t="shared" ca="1" si="30"/>
        <v>119.96932630272688</v>
      </c>
      <c r="M37">
        <f t="shared" ca="1" si="30"/>
        <v>117.03965910710507</v>
      </c>
      <c r="N37">
        <f t="shared" ca="1" si="30"/>
        <v>111.81138211130114</v>
      </c>
    </row>
    <row r="38" spans="1:14">
      <c r="A38" t="s">
        <v>49</v>
      </c>
      <c r="B38">
        <f t="shared" si="3"/>
        <v>100</v>
      </c>
      <c r="C38">
        <f t="shared" ref="C38:N38" ca="1" si="31">B38*EXP($B$4+$B$3*SQRT(1)*NORMSINV(RAND()))</f>
        <v>97.52309770621541</v>
      </c>
      <c r="D38">
        <f t="shared" ca="1" si="31"/>
        <v>98.525710811051709</v>
      </c>
      <c r="E38">
        <f t="shared" ca="1" si="31"/>
        <v>95.28484925284522</v>
      </c>
      <c r="F38">
        <f t="shared" ca="1" si="31"/>
        <v>92.865026251761222</v>
      </c>
      <c r="G38">
        <f t="shared" ca="1" si="31"/>
        <v>91.302635041435167</v>
      </c>
      <c r="H38">
        <f t="shared" ca="1" si="31"/>
        <v>89.784654463117263</v>
      </c>
      <c r="I38">
        <f t="shared" ca="1" si="31"/>
        <v>85.563926719026725</v>
      </c>
      <c r="J38">
        <f t="shared" ca="1" si="31"/>
        <v>82.906153890295116</v>
      </c>
      <c r="K38">
        <f t="shared" ca="1" si="31"/>
        <v>78.144748782998946</v>
      </c>
      <c r="L38">
        <f t="shared" ca="1" si="31"/>
        <v>82.08504809756792</v>
      </c>
      <c r="M38">
        <f t="shared" ca="1" si="31"/>
        <v>82.59233050859639</v>
      </c>
      <c r="N38">
        <f t="shared" ca="1" si="31"/>
        <v>80.674140798268908</v>
      </c>
    </row>
    <row r="39" spans="1:14">
      <c r="A39" t="s">
        <v>50</v>
      </c>
      <c r="B39">
        <f t="shared" si="3"/>
        <v>100</v>
      </c>
      <c r="C39">
        <f t="shared" ref="C39:N39" ca="1" si="32">B39*EXP($B$4+$B$3*SQRT(1)*NORMSINV(RAND()))</f>
        <v>99.616528509136799</v>
      </c>
      <c r="D39">
        <f t="shared" ca="1" si="32"/>
        <v>96.635667806887469</v>
      </c>
      <c r="E39">
        <f t="shared" ca="1" si="32"/>
        <v>96.865502839305009</v>
      </c>
      <c r="F39">
        <f t="shared" ca="1" si="32"/>
        <v>91.197751070290337</v>
      </c>
      <c r="G39">
        <f t="shared" ca="1" si="32"/>
        <v>87.611555880361934</v>
      </c>
      <c r="H39">
        <f t="shared" ca="1" si="32"/>
        <v>84.067826270412908</v>
      </c>
      <c r="I39">
        <f t="shared" ca="1" si="32"/>
        <v>83.378565367098801</v>
      </c>
      <c r="J39">
        <f t="shared" ca="1" si="32"/>
        <v>82.399331059688151</v>
      </c>
      <c r="K39">
        <f t="shared" ca="1" si="32"/>
        <v>79.958112361987688</v>
      </c>
      <c r="L39">
        <f t="shared" ca="1" si="32"/>
        <v>79.129002980086554</v>
      </c>
      <c r="M39">
        <f t="shared" ca="1" si="32"/>
        <v>81.312781037428422</v>
      </c>
      <c r="N39">
        <f t="shared" ca="1" si="32"/>
        <v>81.120256194045737</v>
      </c>
    </row>
    <row r="40" spans="1:14">
      <c r="A40" t="s">
        <v>51</v>
      </c>
      <c r="B40">
        <f t="shared" si="3"/>
        <v>100</v>
      </c>
      <c r="C40">
        <f t="shared" ref="C40:N40" ca="1" si="33">B40*EXP($B$4+$B$3*SQRT(1)*NORMSINV(RAND()))</f>
        <v>98.322968463045328</v>
      </c>
      <c r="D40">
        <f t="shared" ca="1" si="33"/>
        <v>98.254824080181422</v>
      </c>
      <c r="E40">
        <f t="shared" ca="1" si="33"/>
        <v>98.392040616586073</v>
      </c>
      <c r="F40">
        <f t="shared" ca="1" si="33"/>
        <v>97.414817029725214</v>
      </c>
      <c r="G40">
        <f t="shared" ca="1" si="33"/>
        <v>95.855051822361631</v>
      </c>
      <c r="H40">
        <f t="shared" ca="1" si="33"/>
        <v>94.039625634046004</v>
      </c>
      <c r="I40">
        <f t="shared" ca="1" si="33"/>
        <v>92.749181828594644</v>
      </c>
      <c r="J40">
        <f t="shared" ca="1" si="33"/>
        <v>95.081958013169896</v>
      </c>
      <c r="K40">
        <f t="shared" ca="1" si="33"/>
        <v>100.01986199781317</v>
      </c>
      <c r="L40">
        <f t="shared" ca="1" si="33"/>
        <v>98.419313164789472</v>
      </c>
      <c r="M40">
        <f t="shared" ca="1" si="33"/>
        <v>98.578038703736198</v>
      </c>
      <c r="N40">
        <f t="shared" ca="1" si="33"/>
        <v>96.976444074462478</v>
      </c>
    </row>
    <row r="41" spans="1:14">
      <c r="A41" t="s">
        <v>52</v>
      </c>
      <c r="B41">
        <f t="shared" si="3"/>
        <v>100</v>
      </c>
      <c r="C41">
        <f t="shared" ref="C41:N41" ca="1" si="34">B41*EXP($B$4+$B$3*SQRT(1)*NORMSINV(RAND()))</f>
        <v>101.2722980737546</v>
      </c>
      <c r="D41">
        <f t="shared" ca="1" si="34"/>
        <v>102.68453963245076</v>
      </c>
      <c r="E41">
        <f t="shared" ca="1" si="34"/>
        <v>106.89299939154941</v>
      </c>
      <c r="F41">
        <f t="shared" ca="1" si="34"/>
        <v>107.92544861711909</v>
      </c>
      <c r="G41">
        <f t="shared" ca="1" si="34"/>
        <v>110.11206050272668</v>
      </c>
      <c r="H41">
        <f t="shared" ca="1" si="34"/>
        <v>108.99115815732874</v>
      </c>
      <c r="I41">
        <f t="shared" ca="1" si="34"/>
        <v>111.74644264234584</v>
      </c>
      <c r="J41">
        <f t="shared" ca="1" si="34"/>
        <v>116.0571361440482</v>
      </c>
      <c r="K41">
        <f t="shared" ca="1" si="34"/>
        <v>119.38132977492404</v>
      </c>
      <c r="L41">
        <f t="shared" ca="1" si="34"/>
        <v>119.16500949156806</v>
      </c>
      <c r="M41">
        <f t="shared" ca="1" si="34"/>
        <v>118.97196921070184</v>
      </c>
      <c r="N41">
        <f t="shared" ca="1" si="34"/>
        <v>120.45353282335299</v>
      </c>
    </row>
    <row r="42" spans="1:14">
      <c r="A42" t="s">
        <v>53</v>
      </c>
      <c r="B42">
        <f t="shared" si="3"/>
        <v>100</v>
      </c>
      <c r="C42">
        <f t="shared" ref="C42:N42" ca="1" si="35">B42*EXP($B$4+$B$3*SQRT(1)*NORMSINV(RAND()))</f>
        <v>94.430019301637969</v>
      </c>
      <c r="D42">
        <f t="shared" ca="1" si="35"/>
        <v>95.59359058422514</v>
      </c>
      <c r="E42">
        <f t="shared" ca="1" si="35"/>
        <v>97.141421942187534</v>
      </c>
      <c r="F42">
        <f t="shared" ca="1" si="35"/>
        <v>94.447987316556961</v>
      </c>
      <c r="G42">
        <f t="shared" ca="1" si="35"/>
        <v>97.172539018445164</v>
      </c>
      <c r="H42">
        <f t="shared" ca="1" si="35"/>
        <v>97.050737065175312</v>
      </c>
      <c r="I42">
        <f t="shared" ca="1" si="35"/>
        <v>103.77929100779286</v>
      </c>
      <c r="J42">
        <f t="shared" ca="1" si="35"/>
        <v>107.45521650190923</v>
      </c>
      <c r="K42">
        <f t="shared" ca="1" si="35"/>
        <v>113.59705876143575</v>
      </c>
      <c r="L42">
        <f t="shared" ca="1" si="35"/>
        <v>111.34112619140383</v>
      </c>
      <c r="M42">
        <f t="shared" ca="1" si="35"/>
        <v>113.13891140239173</v>
      </c>
      <c r="N42">
        <f t="shared" ca="1" si="35"/>
        <v>112.84083745586845</v>
      </c>
    </row>
    <row r="43" spans="1:14">
      <c r="A43" t="s">
        <v>54</v>
      </c>
      <c r="B43">
        <f t="shared" si="3"/>
        <v>100</v>
      </c>
      <c r="C43">
        <f t="shared" ref="C43:N43" ca="1" si="36">B43*EXP($B$4+$B$3*SQRT(1)*NORMSINV(RAND()))</f>
        <v>102.11258163382972</v>
      </c>
      <c r="D43">
        <f t="shared" ca="1" si="36"/>
        <v>101.25268882341376</v>
      </c>
      <c r="E43">
        <f t="shared" ca="1" si="36"/>
        <v>100.21340440941252</v>
      </c>
      <c r="F43">
        <f t="shared" ca="1" si="36"/>
        <v>102.07261647326847</v>
      </c>
      <c r="G43">
        <f t="shared" ca="1" si="36"/>
        <v>102.14862704965815</v>
      </c>
      <c r="H43">
        <f t="shared" ca="1" si="36"/>
        <v>106.36441914523449</v>
      </c>
      <c r="I43">
        <f t="shared" ca="1" si="36"/>
        <v>109.92187836135491</v>
      </c>
      <c r="J43">
        <f t="shared" ca="1" si="36"/>
        <v>108.52036118586369</v>
      </c>
      <c r="K43">
        <f t="shared" ca="1" si="36"/>
        <v>108.11839816099759</v>
      </c>
      <c r="L43">
        <f t="shared" ca="1" si="36"/>
        <v>102.89406578542166</v>
      </c>
      <c r="M43">
        <f t="shared" ca="1" si="36"/>
        <v>100.2965477450351</v>
      </c>
      <c r="N43">
        <f t="shared" ca="1" si="36"/>
        <v>101.8827652742842</v>
      </c>
    </row>
    <row r="44" spans="1:14">
      <c r="A44" t="s">
        <v>55</v>
      </c>
      <c r="B44">
        <f t="shared" si="3"/>
        <v>100</v>
      </c>
      <c r="C44">
        <f t="shared" ref="C44:N44" ca="1" si="37">B44*EXP($B$4+$B$3*SQRT(1)*NORMSINV(RAND()))</f>
        <v>100.64456864330909</v>
      </c>
      <c r="D44">
        <f t="shared" ca="1" si="37"/>
        <v>98.626052575237452</v>
      </c>
      <c r="E44">
        <f t="shared" ca="1" si="37"/>
        <v>103.67303596313705</v>
      </c>
      <c r="F44">
        <f t="shared" ca="1" si="37"/>
        <v>102.82305343044369</v>
      </c>
      <c r="G44">
        <f t="shared" ca="1" si="37"/>
        <v>105.71932189803871</v>
      </c>
      <c r="H44">
        <f t="shared" ca="1" si="37"/>
        <v>105.40670938898066</v>
      </c>
      <c r="I44">
        <f t="shared" ca="1" si="37"/>
        <v>103.33164346620175</v>
      </c>
      <c r="J44">
        <f t="shared" ca="1" si="37"/>
        <v>107.38426494305517</v>
      </c>
      <c r="K44">
        <f t="shared" ca="1" si="37"/>
        <v>104.46708487601761</v>
      </c>
      <c r="L44">
        <f t="shared" ca="1" si="37"/>
        <v>102.37411587578177</v>
      </c>
      <c r="M44">
        <f t="shared" ca="1" si="37"/>
        <v>100.9780182031467</v>
      </c>
      <c r="N44">
        <f t="shared" ca="1" si="37"/>
        <v>99.489618899152532</v>
      </c>
    </row>
    <row r="45" spans="1:14">
      <c r="A45" t="s">
        <v>56</v>
      </c>
      <c r="B45">
        <f t="shared" si="3"/>
        <v>100</v>
      </c>
      <c r="C45">
        <f t="shared" ref="C45:N45" ca="1" si="38">B45*EXP($B$4+$B$3*SQRT(1)*NORMSINV(RAND()))</f>
        <v>100.62908758650686</v>
      </c>
      <c r="D45">
        <f t="shared" ca="1" si="38"/>
        <v>105.72710653473912</v>
      </c>
      <c r="E45">
        <f t="shared" ca="1" si="38"/>
        <v>100.76797586531822</v>
      </c>
      <c r="F45">
        <f t="shared" ca="1" si="38"/>
        <v>96.942473928935598</v>
      </c>
      <c r="G45">
        <f t="shared" ca="1" si="38"/>
        <v>97.119417347851495</v>
      </c>
      <c r="H45">
        <f t="shared" ca="1" si="38"/>
        <v>95.746151605830889</v>
      </c>
      <c r="I45">
        <f t="shared" ca="1" si="38"/>
        <v>100.84228706049555</v>
      </c>
      <c r="J45">
        <f t="shared" ca="1" si="38"/>
        <v>98.153445394763949</v>
      </c>
      <c r="K45">
        <f t="shared" ca="1" si="38"/>
        <v>95.818539387633436</v>
      </c>
      <c r="L45">
        <f t="shared" ca="1" si="38"/>
        <v>94.426839221299304</v>
      </c>
      <c r="M45">
        <f t="shared" ca="1" si="38"/>
        <v>96.98199669922522</v>
      </c>
      <c r="N45">
        <f t="shared" ca="1" si="38"/>
        <v>95.188894214992104</v>
      </c>
    </row>
    <row r="46" spans="1:14">
      <c r="A46" t="s">
        <v>57</v>
      </c>
      <c r="B46">
        <f t="shared" si="3"/>
        <v>100</v>
      </c>
      <c r="C46">
        <f t="shared" ref="C46:N46" ca="1" si="39">B46*EXP($B$4+$B$3*SQRT(1)*NORMSINV(RAND()))</f>
        <v>105.48771657395086</v>
      </c>
      <c r="D46">
        <f t="shared" ca="1" si="39"/>
        <v>106.66694170124416</v>
      </c>
      <c r="E46">
        <f t="shared" ca="1" si="39"/>
        <v>110.73076629915602</v>
      </c>
      <c r="F46">
        <f t="shared" ca="1" si="39"/>
        <v>108.40238479149612</v>
      </c>
      <c r="G46">
        <f t="shared" ca="1" si="39"/>
        <v>114.27799862551653</v>
      </c>
      <c r="H46">
        <f t="shared" ca="1" si="39"/>
        <v>118.39230640410057</v>
      </c>
      <c r="I46">
        <f t="shared" ca="1" si="39"/>
        <v>119.2559806307172</v>
      </c>
      <c r="J46">
        <f t="shared" ca="1" si="39"/>
        <v>113.36076342238087</v>
      </c>
      <c r="K46">
        <f t="shared" ca="1" si="39"/>
        <v>113.16600383611252</v>
      </c>
      <c r="L46">
        <f t="shared" ca="1" si="39"/>
        <v>114.85494016905029</v>
      </c>
      <c r="M46">
        <f t="shared" ca="1" si="39"/>
        <v>117.2094703689575</v>
      </c>
      <c r="N46">
        <f t="shared" ca="1" si="39"/>
        <v>116.91530115679321</v>
      </c>
    </row>
    <row r="47" spans="1:14">
      <c r="A47" t="s">
        <v>58</v>
      </c>
      <c r="B47">
        <f t="shared" si="3"/>
        <v>100</v>
      </c>
      <c r="C47">
        <f t="shared" ref="C47:N47" ca="1" si="40">B47*EXP($B$4+$B$3*SQRT(1)*NORMSINV(RAND()))</f>
        <v>104.70803283727996</v>
      </c>
      <c r="D47">
        <f t="shared" ca="1" si="40"/>
        <v>102.7816152353537</v>
      </c>
      <c r="E47">
        <f t="shared" ca="1" si="40"/>
        <v>104.73429095674858</v>
      </c>
      <c r="F47">
        <f t="shared" ca="1" si="40"/>
        <v>104.93366477699273</v>
      </c>
      <c r="G47">
        <f t="shared" ca="1" si="40"/>
        <v>106.20800935267805</v>
      </c>
      <c r="H47">
        <f t="shared" ca="1" si="40"/>
        <v>104.10902616624293</v>
      </c>
      <c r="I47">
        <f t="shared" ca="1" si="40"/>
        <v>107.3886058845096</v>
      </c>
      <c r="J47">
        <f t="shared" ca="1" si="40"/>
        <v>105.91917210137338</v>
      </c>
      <c r="K47">
        <f t="shared" ca="1" si="40"/>
        <v>105.03334269389117</v>
      </c>
      <c r="L47">
        <f t="shared" ca="1" si="40"/>
        <v>106.30204424408997</v>
      </c>
      <c r="M47">
        <f t="shared" ca="1" si="40"/>
        <v>111.134142285766</v>
      </c>
      <c r="N47">
        <f t="shared" ca="1" si="40"/>
        <v>111.01113323856913</v>
      </c>
    </row>
    <row r="48" spans="1:14">
      <c r="A48" t="s">
        <v>59</v>
      </c>
      <c r="B48">
        <f t="shared" si="3"/>
        <v>100</v>
      </c>
      <c r="C48">
        <f t="shared" ref="C48:N48" ca="1" si="41">B48*EXP($B$4+$B$3*SQRT(1)*NORMSINV(RAND()))</f>
        <v>102.21314717098325</v>
      </c>
      <c r="D48">
        <f t="shared" ca="1" si="41"/>
        <v>103.42988421266683</v>
      </c>
      <c r="E48">
        <f t="shared" ca="1" si="41"/>
        <v>100.35020615163084</v>
      </c>
      <c r="F48">
        <f t="shared" ca="1" si="41"/>
        <v>95.713406128630965</v>
      </c>
      <c r="G48">
        <f t="shared" ca="1" si="41"/>
        <v>92.887956262379703</v>
      </c>
      <c r="H48">
        <f t="shared" ca="1" si="41"/>
        <v>93.493497458741928</v>
      </c>
      <c r="I48">
        <f t="shared" ca="1" si="41"/>
        <v>91.038274327383107</v>
      </c>
      <c r="J48">
        <f t="shared" ca="1" si="41"/>
        <v>92.599712926594947</v>
      </c>
      <c r="K48">
        <f t="shared" ca="1" si="41"/>
        <v>95.997496183289542</v>
      </c>
      <c r="L48">
        <f t="shared" ca="1" si="41"/>
        <v>93.364864765534492</v>
      </c>
      <c r="M48">
        <f t="shared" ca="1" si="41"/>
        <v>87.427392397293843</v>
      </c>
      <c r="N48">
        <f t="shared" ca="1" si="41"/>
        <v>86.978724887930724</v>
      </c>
    </row>
    <row r="49" spans="1:14">
      <c r="A49" t="s">
        <v>60</v>
      </c>
      <c r="B49">
        <f t="shared" si="3"/>
        <v>100</v>
      </c>
      <c r="C49">
        <f t="shared" ref="C49:N49" ca="1" si="42">B49*EXP($B$4+$B$3*SQRT(1)*NORMSINV(RAND()))</f>
        <v>93.712466420700096</v>
      </c>
      <c r="D49">
        <f t="shared" ca="1" si="42"/>
        <v>92.029635793544728</v>
      </c>
      <c r="E49">
        <f t="shared" ca="1" si="42"/>
        <v>85.17408837022748</v>
      </c>
      <c r="F49">
        <f t="shared" ca="1" si="42"/>
        <v>86.082609529872826</v>
      </c>
      <c r="G49">
        <f t="shared" ca="1" si="42"/>
        <v>86.143515665018526</v>
      </c>
      <c r="H49">
        <f t="shared" ca="1" si="42"/>
        <v>90.793655006500856</v>
      </c>
      <c r="I49">
        <f t="shared" ca="1" si="42"/>
        <v>93.427150903048087</v>
      </c>
      <c r="J49">
        <f t="shared" ca="1" si="42"/>
        <v>94.363994522180036</v>
      </c>
      <c r="K49">
        <f t="shared" ca="1" si="42"/>
        <v>94.961432047841356</v>
      </c>
      <c r="L49">
        <f t="shared" ca="1" si="42"/>
        <v>97.719377786738548</v>
      </c>
      <c r="M49">
        <f t="shared" ca="1" si="42"/>
        <v>102.36521062442266</v>
      </c>
      <c r="N49">
        <f t="shared" ca="1" si="42"/>
        <v>99.139309691707027</v>
      </c>
    </row>
    <row r="50" spans="1:14">
      <c r="A50" t="s">
        <v>61</v>
      </c>
      <c r="B50">
        <f t="shared" si="3"/>
        <v>100</v>
      </c>
      <c r="C50">
        <f t="shared" ref="C50:N50" ca="1" si="43">B50*EXP($B$4+$B$3*SQRT(1)*NORMSINV(RAND()))</f>
        <v>102.990603356012</v>
      </c>
      <c r="D50">
        <f t="shared" ca="1" si="43"/>
        <v>99.420273957818523</v>
      </c>
      <c r="E50">
        <f t="shared" ca="1" si="43"/>
        <v>102.31328452539158</v>
      </c>
      <c r="F50">
        <f t="shared" ca="1" si="43"/>
        <v>104.71987250183098</v>
      </c>
      <c r="G50">
        <f t="shared" ca="1" si="43"/>
        <v>104.9370841074751</v>
      </c>
      <c r="H50">
        <f t="shared" ca="1" si="43"/>
        <v>98.515205333710881</v>
      </c>
      <c r="I50">
        <f t="shared" ca="1" si="43"/>
        <v>94.198926911931295</v>
      </c>
      <c r="J50">
        <f t="shared" ca="1" si="43"/>
        <v>100.24237965846072</v>
      </c>
      <c r="K50">
        <f t="shared" ca="1" si="43"/>
        <v>103.89085080774835</v>
      </c>
      <c r="L50">
        <f t="shared" ca="1" si="43"/>
        <v>101.62460363299168</v>
      </c>
      <c r="M50">
        <f t="shared" ca="1" si="43"/>
        <v>101.75556668423778</v>
      </c>
      <c r="N50">
        <f t="shared" ca="1" si="43"/>
        <v>101.03958329563332</v>
      </c>
    </row>
    <row r="51" spans="1:14">
      <c r="A51" t="s">
        <v>62</v>
      </c>
      <c r="B51">
        <f t="shared" si="3"/>
        <v>100</v>
      </c>
      <c r="C51">
        <f t="shared" ref="C51:N51" ca="1" si="44">B51*EXP($B$4+$B$3*SQRT(1)*NORMSINV(RAND()))</f>
        <v>102.24358991488238</v>
      </c>
      <c r="D51">
        <f t="shared" ca="1" si="44"/>
        <v>102.40247815601757</v>
      </c>
      <c r="E51">
        <f t="shared" ca="1" si="44"/>
        <v>98.851860851362645</v>
      </c>
      <c r="F51">
        <f t="shared" ca="1" si="44"/>
        <v>93.18321275470953</v>
      </c>
      <c r="G51">
        <f t="shared" ca="1" si="44"/>
        <v>91.001933844302442</v>
      </c>
      <c r="H51">
        <f t="shared" ca="1" si="44"/>
        <v>90.624306017790872</v>
      </c>
      <c r="I51">
        <f t="shared" ca="1" si="44"/>
        <v>94.270523658130642</v>
      </c>
      <c r="J51">
        <f t="shared" ca="1" si="44"/>
        <v>98.054490865326272</v>
      </c>
      <c r="K51">
        <f t="shared" ca="1" si="44"/>
        <v>100.82509851176685</v>
      </c>
      <c r="L51">
        <f t="shared" ca="1" si="44"/>
        <v>99.547961453799985</v>
      </c>
      <c r="M51">
        <f t="shared" ca="1" si="44"/>
        <v>98.918697723786366</v>
      </c>
      <c r="N51">
        <f t="shared" ca="1" si="44"/>
        <v>95.728424081327944</v>
      </c>
    </row>
    <row r="52" spans="1:14">
      <c r="A52" t="s">
        <v>63</v>
      </c>
      <c r="B52">
        <f t="shared" si="3"/>
        <v>100</v>
      </c>
      <c r="C52">
        <f t="shared" ref="C52:N52" ca="1" si="45">B52*EXP($B$4+$B$3*SQRT(1)*NORMSINV(RAND()))</f>
        <v>98.721539268775103</v>
      </c>
      <c r="D52">
        <f t="shared" ca="1" si="45"/>
        <v>100.14907423065922</v>
      </c>
      <c r="E52">
        <f t="shared" ca="1" si="45"/>
        <v>103.99895111060476</v>
      </c>
      <c r="F52">
        <f t="shared" ca="1" si="45"/>
        <v>104.82293607181926</v>
      </c>
      <c r="G52">
        <f t="shared" ca="1" si="45"/>
        <v>103.26155539778134</v>
      </c>
      <c r="H52">
        <f t="shared" ca="1" si="45"/>
        <v>104.40805498023093</v>
      </c>
      <c r="I52">
        <f t="shared" ca="1" si="45"/>
        <v>106.51949922897704</v>
      </c>
      <c r="J52">
        <f t="shared" ca="1" si="45"/>
        <v>105.55951185689641</v>
      </c>
      <c r="K52">
        <f t="shared" ca="1" si="45"/>
        <v>106.45550836751758</v>
      </c>
      <c r="L52">
        <f t="shared" ca="1" si="45"/>
        <v>107.47426258925049</v>
      </c>
      <c r="M52">
        <f t="shared" ca="1" si="45"/>
        <v>105.14566600337606</v>
      </c>
      <c r="N52">
        <f t="shared" ca="1" si="45"/>
        <v>105.80007092552505</v>
      </c>
    </row>
    <row r="53" spans="1:14">
      <c r="A53" t="s">
        <v>64</v>
      </c>
      <c r="B53">
        <f t="shared" si="3"/>
        <v>100</v>
      </c>
      <c r="C53">
        <f t="shared" ref="C53:N53" ca="1" si="46">B53*EXP($B$4+$B$3*SQRT(1)*NORMSINV(RAND()))</f>
        <v>100.99468927549734</v>
      </c>
      <c r="D53">
        <f t="shared" ca="1" si="46"/>
        <v>98.919346599455096</v>
      </c>
      <c r="E53">
        <f t="shared" ca="1" si="46"/>
        <v>98.449108195300539</v>
      </c>
      <c r="F53">
        <f t="shared" ca="1" si="46"/>
        <v>97.070104596635417</v>
      </c>
      <c r="G53">
        <f t="shared" ca="1" si="46"/>
        <v>92.557965649938566</v>
      </c>
      <c r="H53">
        <f t="shared" ca="1" si="46"/>
        <v>92.110688378538725</v>
      </c>
      <c r="I53">
        <f t="shared" ca="1" si="46"/>
        <v>97.746667812378647</v>
      </c>
      <c r="J53">
        <f t="shared" ca="1" si="46"/>
        <v>98.018730675953591</v>
      </c>
      <c r="K53">
        <f t="shared" ca="1" si="46"/>
        <v>96.591829359195515</v>
      </c>
      <c r="L53">
        <f t="shared" ca="1" si="46"/>
        <v>98.571201215427152</v>
      </c>
      <c r="M53">
        <f t="shared" ca="1" si="46"/>
        <v>93.630178672113615</v>
      </c>
      <c r="N53">
        <f t="shared" ca="1" si="46"/>
        <v>97.034026043999233</v>
      </c>
    </row>
    <row r="54" spans="1:14">
      <c r="A54" t="s">
        <v>65</v>
      </c>
      <c r="B54">
        <f t="shared" si="3"/>
        <v>100</v>
      </c>
      <c r="C54">
        <f t="shared" ref="C54:N54" ca="1" si="47">B54*EXP($B$4+$B$3*SQRT(1)*NORMSINV(RAND()))</f>
        <v>104.10353244076782</v>
      </c>
      <c r="D54">
        <f t="shared" ca="1" si="47"/>
        <v>100.72730075912563</v>
      </c>
      <c r="E54">
        <f t="shared" ca="1" si="47"/>
        <v>103.53814502526144</v>
      </c>
      <c r="F54">
        <f t="shared" ca="1" si="47"/>
        <v>104.88305226386331</v>
      </c>
      <c r="G54">
        <f t="shared" ca="1" si="47"/>
        <v>110.34525302554124</v>
      </c>
      <c r="H54">
        <f t="shared" ca="1" si="47"/>
        <v>109.03877470063846</v>
      </c>
      <c r="I54">
        <f t="shared" ca="1" si="47"/>
        <v>110.42549453805638</v>
      </c>
      <c r="J54">
        <f t="shared" ca="1" si="47"/>
        <v>112.93967261589229</v>
      </c>
      <c r="K54">
        <f t="shared" ca="1" si="47"/>
        <v>111.97390305680241</v>
      </c>
      <c r="L54">
        <f t="shared" ca="1" si="47"/>
        <v>106.95437968338499</v>
      </c>
      <c r="M54">
        <f t="shared" ca="1" si="47"/>
        <v>108.16639844117834</v>
      </c>
      <c r="N54">
        <f t="shared" ca="1" si="47"/>
        <v>110.29480927343539</v>
      </c>
    </row>
    <row r="55" spans="1:14">
      <c r="A55" t="s">
        <v>66</v>
      </c>
      <c r="B55">
        <f t="shared" si="3"/>
        <v>100</v>
      </c>
      <c r="C55">
        <f t="shared" ref="C55:N55" ca="1" si="48">B55*EXP($B$4+$B$3*SQRT(1)*NORMSINV(RAND()))</f>
        <v>95.929236156374998</v>
      </c>
      <c r="D55">
        <f t="shared" ca="1" si="48"/>
        <v>104.95105330533835</v>
      </c>
      <c r="E55">
        <f t="shared" ca="1" si="48"/>
        <v>102.39716749235006</v>
      </c>
      <c r="F55">
        <f t="shared" ca="1" si="48"/>
        <v>104.2110236799212</v>
      </c>
      <c r="G55">
        <f t="shared" ca="1" si="48"/>
        <v>104.56542720743002</v>
      </c>
      <c r="H55">
        <f t="shared" ca="1" si="48"/>
        <v>109.07831351081656</v>
      </c>
      <c r="I55">
        <f t="shared" ca="1" si="48"/>
        <v>112.30620098578564</v>
      </c>
      <c r="J55">
        <f t="shared" ca="1" si="48"/>
        <v>111.97903317778909</v>
      </c>
      <c r="K55">
        <f t="shared" ca="1" si="48"/>
        <v>111.074372615315</v>
      </c>
      <c r="L55">
        <f t="shared" ca="1" si="48"/>
        <v>109.21790976657182</v>
      </c>
      <c r="M55">
        <f t="shared" ca="1" si="48"/>
        <v>115.83048163320268</v>
      </c>
      <c r="N55">
        <f t="shared" ca="1" si="48"/>
        <v>114.80432242093347</v>
      </c>
    </row>
    <row r="56" spans="1:14">
      <c r="A56" t="s">
        <v>67</v>
      </c>
      <c r="B56">
        <f t="shared" si="3"/>
        <v>100</v>
      </c>
      <c r="C56">
        <f t="shared" ref="C56:N56" ca="1" si="49">B56*EXP($B$4+$B$3*SQRT(1)*NORMSINV(RAND()))</f>
        <v>103.23424987339595</v>
      </c>
      <c r="D56">
        <f t="shared" ca="1" si="49"/>
        <v>107.28150033927007</v>
      </c>
      <c r="E56">
        <f t="shared" ca="1" si="49"/>
        <v>103.10826540220344</v>
      </c>
      <c r="F56">
        <f t="shared" ca="1" si="49"/>
        <v>100.03761755776245</v>
      </c>
      <c r="G56">
        <f t="shared" ca="1" si="49"/>
        <v>101.43490140513495</v>
      </c>
      <c r="H56">
        <f t="shared" ca="1" si="49"/>
        <v>97.096927196938665</v>
      </c>
      <c r="I56">
        <f t="shared" ca="1" si="49"/>
        <v>94.377611949021215</v>
      </c>
      <c r="J56">
        <f t="shared" ca="1" si="49"/>
        <v>94.545476427106109</v>
      </c>
      <c r="K56">
        <f t="shared" ca="1" si="49"/>
        <v>92.123035776667422</v>
      </c>
      <c r="L56">
        <f t="shared" ca="1" si="49"/>
        <v>89.835070889794778</v>
      </c>
      <c r="M56">
        <f t="shared" ca="1" si="49"/>
        <v>88.838772981803643</v>
      </c>
      <c r="N56">
        <f t="shared" ca="1" si="49"/>
        <v>88.16009990910203</v>
      </c>
    </row>
    <row r="57" spans="1:14">
      <c r="A57" t="s">
        <v>68</v>
      </c>
      <c r="B57">
        <f t="shared" si="3"/>
        <v>100</v>
      </c>
      <c r="C57">
        <f t="shared" ref="C57:N57" ca="1" si="50">B57*EXP($B$4+$B$3*SQRT(1)*NORMSINV(RAND()))</f>
        <v>97.726127056475903</v>
      </c>
      <c r="D57">
        <f t="shared" ca="1" si="50"/>
        <v>96.784090629645718</v>
      </c>
      <c r="E57">
        <f t="shared" ca="1" si="50"/>
        <v>95.794623681035517</v>
      </c>
      <c r="F57">
        <f t="shared" ca="1" si="50"/>
        <v>96.509181623860613</v>
      </c>
      <c r="G57">
        <f t="shared" ca="1" si="50"/>
        <v>99.581754900652271</v>
      </c>
      <c r="H57">
        <f t="shared" ca="1" si="50"/>
        <v>104.0382771737044</v>
      </c>
      <c r="I57">
        <f t="shared" ca="1" si="50"/>
        <v>103.90359087527952</v>
      </c>
      <c r="J57">
        <f t="shared" ca="1" si="50"/>
        <v>110.66347824458454</v>
      </c>
      <c r="K57">
        <f t="shared" ca="1" si="50"/>
        <v>111.69774383988056</v>
      </c>
      <c r="L57">
        <f t="shared" ca="1" si="50"/>
        <v>112.0668976301654</v>
      </c>
      <c r="M57">
        <f t="shared" ca="1" si="50"/>
        <v>114.60505276325085</v>
      </c>
      <c r="N57">
        <f t="shared" ca="1" si="50"/>
        <v>117.13444026883523</v>
      </c>
    </row>
    <row r="58" spans="1:14">
      <c r="A58" t="s">
        <v>69</v>
      </c>
      <c r="B58">
        <f t="shared" si="3"/>
        <v>100</v>
      </c>
      <c r="C58">
        <f t="shared" ref="C58:N58" ca="1" si="51">B58*EXP($B$4+$B$3*SQRT(1)*NORMSINV(RAND()))</f>
        <v>98.410087590248466</v>
      </c>
      <c r="D58">
        <f t="shared" ca="1" si="51"/>
        <v>98.098085957658895</v>
      </c>
      <c r="E58">
        <f t="shared" ca="1" si="51"/>
        <v>99.700315674893432</v>
      </c>
      <c r="F58">
        <f t="shared" ca="1" si="51"/>
        <v>100.03679885583718</v>
      </c>
      <c r="G58">
        <f t="shared" ca="1" si="51"/>
        <v>102.90256252254925</v>
      </c>
      <c r="H58">
        <f t="shared" ca="1" si="51"/>
        <v>103.92413663399478</v>
      </c>
      <c r="I58">
        <f t="shared" ca="1" si="51"/>
        <v>110.9646600481063</v>
      </c>
      <c r="J58">
        <f t="shared" ca="1" si="51"/>
        <v>115.68122365704217</v>
      </c>
      <c r="K58">
        <f t="shared" ca="1" si="51"/>
        <v>114.60528588951487</v>
      </c>
      <c r="L58">
        <f t="shared" ca="1" si="51"/>
        <v>111.66102936534196</v>
      </c>
      <c r="M58">
        <f t="shared" ca="1" si="51"/>
        <v>113.84771028053208</v>
      </c>
      <c r="N58">
        <f t="shared" ca="1" si="51"/>
        <v>115.13609014289176</v>
      </c>
    </row>
    <row r="59" spans="1:14">
      <c r="A59" t="s">
        <v>70</v>
      </c>
      <c r="B59">
        <f t="shared" si="3"/>
        <v>100</v>
      </c>
      <c r="C59">
        <f t="shared" ref="C59:N59" ca="1" si="52">B59*EXP($B$4+$B$3*SQRT(1)*NORMSINV(RAND()))</f>
        <v>95.443572036521374</v>
      </c>
      <c r="D59">
        <f t="shared" ca="1" si="52"/>
        <v>94.518549313727803</v>
      </c>
      <c r="E59">
        <f t="shared" ca="1" si="52"/>
        <v>94.555971621089284</v>
      </c>
      <c r="F59">
        <f t="shared" ca="1" si="52"/>
        <v>99.769935569096376</v>
      </c>
      <c r="G59">
        <f t="shared" ca="1" si="52"/>
        <v>97.285172756405743</v>
      </c>
      <c r="H59">
        <f t="shared" ca="1" si="52"/>
        <v>101.20514510290324</v>
      </c>
      <c r="I59">
        <f t="shared" ca="1" si="52"/>
        <v>102.13664660916088</v>
      </c>
      <c r="J59">
        <f t="shared" ca="1" si="52"/>
        <v>105.53942101858343</v>
      </c>
      <c r="K59">
        <f t="shared" ca="1" si="52"/>
        <v>108.23639615412962</v>
      </c>
      <c r="L59">
        <f t="shared" ca="1" si="52"/>
        <v>112.25432131425148</v>
      </c>
      <c r="M59">
        <f t="shared" ca="1" si="52"/>
        <v>106.05327544446847</v>
      </c>
      <c r="N59">
        <f t="shared" ca="1" si="52"/>
        <v>107.56911760015542</v>
      </c>
    </row>
    <row r="60" spans="1:14">
      <c r="A60" t="s">
        <v>71</v>
      </c>
      <c r="B60">
        <f t="shared" si="3"/>
        <v>100</v>
      </c>
      <c r="C60">
        <f t="shared" ref="C60:N60" ca="1" si="53">B60*EXP($B$4+$B$3*SQRT(1)*NORMSINV(RAND()))</f>
        <v>100.62857957389338</v>
      </c>
      <c r="D60">
        <f t="shared" ca="1" si="53"/>
        <v>97.67061345544198</v>
      </c>
      <c r="E60">
        <f t="shared" ca="1" si="53"/>
        <v>96.218542244608983</v>
      </c>
      <c r="F60">
        <f t="shared" ca="1" si="53"/>
        <v>93.190941947374611</v>
      </c>
      <c r="G60">
        <f t="shared" ca="1" si="53"/>
        <v>93.86869646552384</v>
      </c>
      <c r="H60">
        <f t="shared" ca="1" si="53"/>
        <v>92.791439091090893</v>
      </c>
      <c r="I60">
        <f t="shared" ca="1" si="53"/>
        <v>94.171346312561681</v>
      </c>
      <c r="J60">
        <f t="shared" ca="1" si="53"/>
        <v>99.237758340438816</v>
      </c>
      <c r="K60">
        <f t="shared" ca="1" si="53"/>
        <v>104.0326922270873</v>
      </c>
      <c r="L60">
        <f t="shared" ca="1" si="53"/>
        <v>107.6267305678158</v>
      </c>
      <c r="M60">
        <f t="shared" ca="1" si="53"/>
        <v>106.63931280245349</v>
      </c>
      <c r="N60">
        <f t="shared" ca="1" si="53"/>
        <v>108.75449150015734</v>
      </c>
    </row>
    <row r="61" spans="1:14">
      <c r="A61" t="s">
        <v>72</v>
      </c>
      <c r="B61">
        <f t="shared" si="3"/>
        <v>100</v>
      </c>
      <c r="C61">
        <f t="shared" ref="C61:N61" ca="1" si="54">B61*EXP($B$4+$B$3*SQRT(1)*NORMSINV(RAND()))</f>
        <v>105.41261177573782</v>
      </c>
      <c r="D61">
        <f t="shared" ca="1" si="54"/>
        <v>110.5673087985229</v>
      </c>
      <c r="E61">
        <f t="shared" ca="1" si="54"/>
        <v>109.90505363525614</v>
      </c>
      <c r="F61">
        <f t="shared" ca="1" si="54"/>
        <v>110.93991584548762</v>
      </c>
      <c r="G61">
        <f t="shared" ca="1" si="54"/>
        <v>107.85433863790817</v>
      </c>
      <c r="H61">
        <f t="shared" ca="1" si="54"/>
        <v>108.72263214486708</v>
      </c>
      <c r="I61">
        <f t="shared" ca="1" si="54"/>
        <v>110.76784573725838</v>
      </c>
      <c r="J61">
        <f t="shared" ca="1" si="54"/>
        <v>116.49007212028556</v>
      </c>
      <c r="K61">
        <f t="shared" ca="1" si="54"/>
        <v>119.33508366860855</v>
      </c>
      <c r="L61">
        <f t="shared" ca="1" si="54"/>
        <v>116.37702401170077</v>
      </c>
      <c r="M61">
        <f t="shared" ca="1" si="54"/>
        <v>112.17128751994446</v>
      </c>
      <c r="N61">
        <f t="shared" ca="1" si="54"/>
        <v>104.94211413043976</v>
      </c>
    </row>
    <row r="62" spans="1:14">
      <c r="A62" t="s">
        <v>73</v>
      </c>
      <c r="B62">
        <f t="shared" si="3"/>
        <v>100</v>
      </c>
      <c r="C62">
        <f t="shared" ref="C62:N62" ca="1" si="55">B62*EXP($B$4+$B$3*SQRT(1)*NORMSINV(RAND()))</f>
        <v>101.66525696261041</v>
      </c>
      <c r="D62">
        <f t="shared" ca="1" si="55"/>
        <v>100.76510413638366</v>
      </c>
      <c r="E62">
        <f t="shared" ca="1" si="55"/>
        <v>99.905182628280571</v>
      </c>
      <c r="F62">
        <f t="shared" ca="1" si="55"/>
        <v>100.02520532101558</v>
      </c>
      <c r="G62">
        <f t="shared" ca="1" si="55"/>
        <v>98.435897376303728</v>
      </c>
      <c r="H62">
        <f t="shared" ca="1" si="55"/>
        <v>100.06999910199563</v>
      </c>
      <c r="I62">
        <f t="shared" ca="1" si="55"/>
        <v>101.12214122283658</v>
      </c>
      <c r="J62">
        <f t="shared" ca="1" si="55"/>
        <v>104.04145929185923</v>
      </c>
      <c r="K62">
        <f t="shared" ca="1" si="55"/>
        <v>99.402985141104793</v>
      </c>
      <c r="L62">
        <f t="shared" ca="1" si="55"/>
        <v>98.937750239287993</v>
      </c>
      <c r="M62">
        <f t="shared" ca="1" si="55"/>
        <v>97.516172424618503</v>
      </c>
      <c r="N62">
        <f t="shared" ca="1" si="55"/>
        <v>92.973155416266152</v>
      </c>
    </row>
    <row r="63" spans="1:14">
      <c r="A63" t="s">
        <v>74</v>
      </c>
      <c r="B63">
        <f t="shared" si="3"/>
        <v>100</v>
      </c>
      <c r="C63">
        <f t="shared" ref="C63:N63" ca="1" si="56">B63*EXP($B$4+$B$3*SQRT(1)*NORMSINV(RAND()))</f>
        <v>98.697913940268407</v>
      </c>
      <c r="D63">
        <f t="shared" ca="1" si="56"/>
        <v>95.969753889926878</v>
      </c>
      <c r="E63">
        <f t="shared" ca="1" si="56"/>
        <v>95.630558947770567</v>
      </c>
      <c r="F63">
        <f t="shared" ca="1" si="56"/>
        <v>92.901458985947613</v>
      </c>
      <c r="G63">
        <f t="shared" ca="1" si="56"/>
        <v>93.217385281815737</v>
      </c>
      <c r="H63">
        <f t="shared" ca="1" si="56"/>
        <v>92.8783404281603</v>
      </c>
      <c r="I63">
        <f t="shared" ca="1" si="56"/>
        <v>100.52560696572422</v>
      </c>
      <c r="J63">
        <f t="shared" ca="1" si="56"/>
        <v>95.099488461061313</v>
      </c>
      <c r="K63">
        <f t="shared" ca="1" si="56"/>
        <v>97.249302855571969</v>
      </c>
      <c r="L63">
        <f t="shared" ca="1" si="56"/>
        <v>98.554093091484518</v>
      </c>
      <c r="M63">
        <f t="shared" ca="1" si="56"/>
        <v>101.90178034391469</v>
      </c>
      <c r="N63">
        <f t="shared" ca="1" si="56"/>
        <v>98.494945344158097</v>
      </c>
    </row>
    <row r="64" spans="1:14">
      <c r="A64" t="s">
        <v>75</v>
      </c>
      <c r="B64">
        <f t="shared" si="3"/>
        <v>100</v>
      </c>
      <c r="C64">
        <f t="shared" ref="C64:N64" ca="1" si="57">B64*EXP($B$4+$B$3*SQRT(1)*NORMSINV(RAND()))</f>
        <v>98.018542763682774</v>
      </c>
      <c r="D64">
        <f t="shared" ca="1" si="57"/>
        <v>99.160432314438864</v>
      </c>
      <c r="E64">
        <f t="shared" ca="1" si="57"/>
        <v>99.458202497891634</v>
      </c>
      <c r="F64">
        <f t="shared" ca="1" si="57"/>
        <v>99.447296950335542</v>
      </c>
      <c r="G64">
        <f t="shared" ca="1" si="57"/>
        <v>108.79598224838563</v>
      </c>
      <c r="H64">
        <f t="shared" ca="1" si="57"/>
        <v>106.0573037222251</v>
      </c>
      <c r="I64">
        <f t="shared" ca="1" si="57"/>
        <v>104.00651698307773</v>
      </c>
      <c r="J64">
        <f t="shared" ca="1" si="57"/>
        <v>95.75267482610731</v>
      </c>
      <c r="K64">
        <f t="shared" ca="1" si="57"/>
        <v>99.007758499194722</v>
      </c>
      <c r="L64">
        <f t="shared" ca="1" si="57"/>
        <v>100.05752875274712</v>
      </c>
      <c r="M64">
        <f t="shared" ca="1" si="57"/>
        <v>97.670281227612961</v>
      </c>
      <c r="N64">
        <f t="shared" ca="1" si="57"/>
        <v>95.526665856251867</v>
      </c>
    </row>
    <row r="65" spans="1:14">
      <c r="A65" t="s">
        <v>76</v>
      </c>
      <c r="B65">
        <f t="shared" si="3"/>
        <v>100</v>
      </c>
      <c r="C65">
        <f t="shared" ref="C65:N65" ca="1" si="58">B65*EXP($B$4+$B$3*SQRT(1)*NORMSINV(RAND()))</f>
        <v>99.13051814202656</v>
      </c>
      <c r="D65">
        <f t="shared" ca="1" si="58"/>
        <v>102.05054451862124</v>
      </c>
      <c r="E65">
        <f t="shared" ca="1" si="58"/>
        <v>103.82968784947793</v>
      </c>
      <c r="F65">
        <f t="shared" ca="1" si="58"/>
        <v>98.450023732210909</v>
      </c>
      <c r="G65">
        <f t="shared" ca="1" si="58"/>
        <v>100.98209684265545</v>
      </c>
      <c r="H65">
        <f t="shared" ca="1" si="58"/>
        <v>103.6243690967891</v>
      </c>
      <c r="I65">
        <f t="shared" ca="1" si="58"/>
        <v>107.66376346102629</v>
      </c>
      <c r="J65">
        <f t="shared" ca="1" si="58"/>
        <v>108.19693908553204</v>
      </c>
      <c r="K65">
        <f t="shared" ca="1" si="58"/>
        <v>106.4684378094811</v>
      </c>
      <c r="L65">
        <f t="shared" ca="1" si="58"/>
        <v>107.8167487390234</v>
      </c>
      <c r="M65">
        <f t="shared" ca="1" si="58"/>
        <v>107.90230350450841</v>
      </c>
      <c r="N65">
        <f t="shared" ca="1" si="58"/>
        <v>108.05801327052842</v>
      </c>
    </row>
    <row r="66" spans="1:14">
      <c r="A66" t="s">
        <v>77</v>
      </c>
      <c r="B66">
        <f t="shared" si="3"/>
        <v>100</v>
      </c>
      <c r="C66">
        <f t="shared" ref="C66:N66" ca="1" si="59">B66*EXP($B$4+$B$3*SQRT(1)*NORMSINV(RAND()))</f>
        <v>97.271779587764911</v>
      </c>
      <c r="D66">
        <f t="shared" ca="1" si="59"/>
        <v>98.128921722688929</v>
      </c>
      <c r="E66">
        <f t="shared" ca="1" si="59"/>
        <v>100.85648068229933</v>
      </c>
      <c r="F66">
        <f t="shared" ca="1" si="59"/>
        <v>104.63300837196493</v>
      </c>
      <c r="G66">
        <f t="shared" ca="1" si="59"/>
        <v>103.33215868129889</v>
      </c>
      <c r="H66">
        <f t="shared" ca="1" si="59"/>
        <v>107.27355938680059</v>
      </c>
      <c r="I66">
        <f t="shared" ca="1" si="59"/>
        <v>104.61567098958096</v>
      </c>
      <c r="J66">
        <f t="shared" ca="1" si="59"/>
        <v>102.78162089609725</v>
      </c>
      <c r="K66">
        <f t="shared" ca="1" si="59"/>
        <v>104.45446326163231</v>
      </c>
      <c r="L66">
        <f t="shared" ca="1" si="59"/>
        <v>108.36026320067698</v>
      </c>
      <c r="M66">
        <f t="shared" ca="1" si="59"/>
        <v>109.7305328639103</v>
      </c>
      <c r="N66">
        <f t="shared" ca="1" si="59"/>
        <v>107.30597638323752</v>
      </c>
    </row>
    <row r="67" spans="1:14">
      <c r="A67" t="s">
        <v>78</v>
      </c>
      <c r="B67">
        <f t="shared" si="3"/>
        <v>100</v>
      </c>
      <c r="C67">
        <f t="shared" ref="C67:N67" ca="1" si="60">B67*EXP($B$4+$B$3*SQRT(1)*NORMSINV(RAND()))</f>
        <v>105.15290696692156</v>
      </c>
      <c r="D67">
        <f t="shared" ca="1" si="60"/>
        <v>107.28830111662944</v>
      </c>
      <c r="E67">
        <f t="shared" ca="1" si="60"/>
        <v>103.36475375540199</v>
      </c>
      <c r="F67">
        <f t="shared" ca="1" si="60"/>
        <v>101.73191164343912</v>
      </c>
      <c r="G67">
        <f t="shared" ca="1" si="60"/>
        <v>102.45523227772048</v>
      </c>
      <c r="H67">
        <f t="shared" ca="1" si="60"/>
        <v>100.13238996083582</v>
      </c>
      <c r="I67">
        <f t="shared" ca="1" si="60"/>
        <v>101.31177659994236</v>
      </c>
      <c r="J67">
        <f t="shared" ca="1" si="60"/>
        <v>106.1332353454565</v>
      </c>
      <c r="K67">
        <f t="shared" ca="1" si="60"/>
        <v>101.65155316002578</v>
      </c>
      <c r="L67">
        <f t="shared" ca="1" si="60"/>
        <v>101.49729284983162</v>
      </c>
      <c r="M67">
        <f t="shared" ca="1" si="60"/>
        <v>104.21076303522848</v>
      </c>
      <c r="N67">
        <f t="shared" ca="1" si="60"/>
        <v>101.25031965898799</v>
      </c>
    </row>
    <row r="68" spans="1:14">
      <c r="A68" t="s">
        <v>79</v>
      </c>
      <c r="B68">
        <f t="shared" si="3"/>
        <v>100</v>
      </c>
      <c r="C68">
        <f t="shared" ref="C68:N68" ca="1" si="61">B68*EXP($B$4+$B$3*SQRT(1)*NORMSINV(RAND()))</f>
        <v>98.259448091262399</v>
      </c>
      <c r="D68">
        <f t="shared" ca="1" si="61"/>
        <v>98.917656888707</v>
      </c>
      <c r="E68">
        <f t="shared" ca="1" si="61"/>
        <v>103.68255665671326</v>
      </c>
      <c r="F68">
        <f t="shared" ca="1" si="61"/>
        <v>103.03860847274917</v>
      </c>
      <c r="G68">
        <f t="shared" ca="1" si="61"/>
        <v>97.415291844305912</v>
      </c>
      <c r="H68">
        <f t="shared" ca="1" si="61"/>
        <v>100.17982575147596</v>
      </c>
      <c r="I68">
        <f t="shared" ca="1" si="61"/>
        <v>98.358550855888211</v>
      </c>
      <c r="J68">
        <f t="shared" ca="1" si="61"/>
        <v>98.337923795462459</v>
      </c>
      <c r="K68">
        <f t="shared" ca="1" si="61"/>
        <v>100.15825919114032</v>
      </c>
      <c r="L68">
        <f t="shared" ca="1" si="61"/>
        <v>100.49448067595011</v>
      </c>
      <c r="M68">
        <f t="shared" ca="1" si="61"/>
        <v>105.54161613877913</v>
      </c>
      <c r="N68">
        <f t="shared" ca="1" si="61"/>
        <v>105.78473314734133</v>
      </c>
    </row>
    <row r="69" spans="1:14">
      <c r="A69" t="s">
        <v>80</v>
      </c>
      <c r="B69">
        <f t="shared" si="3"/>
        <v>100</v>
      </c>
      <c r="C69">
        <f t="shared" ref="C69:N69" ca="1" si="62">B69*EXP($B$4+$B$3*SQRT(1)*NORMSINV(RAND()))</f>
        <v>103.10100167212725</v>
      </c>
      <c r="D69">
        <f t="shared" ca="1" si="62"/>
        <v>98.086321032993496</v>
      </c>
      <c r="E69">
        <f t="shared" ca="1" si="62"/>
        <v>99.284143347642186</v>
      </c>
      <c r="F69">
        <f t="shared" ca="1" si="62"/>
        <v>104.316372418336</v>
      </c>
      <c r="G69">
        <f t="shared" ca="1" si="62"/>
        <v>106.44259475600805</v>
      </c>
      <c r="H69">
        <f t="shared" ca="1" si="62"/>
        <v>104.44992236757216</v>
      </c>
      <c r="I69">
        <f t="shared" ca="1" si="62"/>
        <v>103.81227119285928</v>
      </c>
      <c r="J69">
        <f t="shared" ca="1" si="62"/>
        <v>104.83151460331746</v>
      </c>
      <c r="K69">
        <f t="shared" ca="1" si="62"/>
        <v>105.02638034423256</v>
      </c>
      <c r="L69">
        <f t="shared" ca="1" si="62"/>
        <v>106.41894454047268</v>
      </c>
      <c r="M69">
        <f t="shared" ca="1" si="62"/>
        <v>107.07572843546529</v>
      </c>
      <c r="N69">
        <f t="shared" ca="1" si="62"/>
        <v>105.36103178467251</v>
      </c>
    </row>
    <row r="70" spans="1:14">
      <c r="A70" t="s">
        <v>81</v>
      </c>
      <c r="B70">
        <f t="shared" si="3"/>
        <v>100</v>
      </c>
      <c r="C70">
        <f t="shared" ref="C70:N70" ca="1" si="63">B70*EXP($B$4+$B$3*SQRT(1)*NORMSINV(RAND()))</f>
        <v>100.33936067577616</v>
      </c>
      <c r="D70">
        <f t="shared" ca="1" si="63"/>
        <v>99.368303279925755</v>
      </c>
      <c r="E70">
        <f t="shared" ca="1" si="63"/>
        <v>100.89982304593893</v>
      </c>
      <c r="F70">
        <f t="shared" ca="1" si="63"/>
        <v>101.65167405065004</v>
      </c>
      <c r="G70">
        <f t="shared" ca="1" si="63"/>
        <v>96.942094361948463</v>
      </c>
      <c r="H70">
        <f t="shared" ca="1" si="63"/>
        <v>93.862902474581603</v>
      </c>
      <c r="I70">
        <f t="shared" ca="1" si="63"/>
        <v>90.772806618667161</v>
      </c>
      <c r="J70">
        <f t="shared" ca="1" si="63"/>
        <v>90.847861809526663</v>
      </c>
      <c r="K70">
        <f t="shared" ca="1" si="63"/>
        <v>88.165023449046771</v>
      </c>
      <c r="L70">
        <f t="shared" ca="1" si="63"/>
        <v>89.667349985037248</v>
      </c>
      <c r="M70">
        <f t="shared" ca="1" si="63"/>
        <v>94.924035808473178</v>
      </c>
      <c r="N70">
        <f t="shared" ca="1" si="63"/>
        <v>97.33160467696878</v>
      </c>
    </row>
    <row r="71" spans="1:14">
      <c r="A71" t="s">
        <v>82</v>
      </c>
      <c r="B71">
        <f t="shared" si="3"/>
        <v>100</v>
      </c>
      <c r="C71">
        <f t="shared" ref="C71:N71" ca="1" si="64">B71*EXP($B$4+$B$3*SQRT(1)*NORMSINV(RAND()))</f>
        <v>104.9494232055997</v>
      </c>
      <c r="D71">
        <f t="shared" ca="1" si="64"/>
        <v>105.90643533535805</v>
      </c>
      <c r="E71">
        <f t="shared" ca="1" si="64"/>
        <v>107.16808570947715</v>
      </c>
      <c r="F71">
        <f t="shared" ca="1" si="64"/>
        <v>107.91882411378096</v>
      </c>
      <c r="G71">
        <f t="shared" ca="1" si="64"/>
        <v>106.9382451147933</v>
      </c>
      <c r="H71">
        <f t="shared" ca="1" si="64"/>
        <v>103.08782184210762</v>
      </c>
      <c r="I71">
        <f t="shared" ca="1" si="64"/>
        <v>101.65985017571066</v>
      </c>
      <c r="J71">
        <f t="shared" ca="1" si="64"/>
        <v>104.2039644562026</v>
      </c>
      <c r="K71">
        <f t="shared" ca="1" si="64"/>
        <v>106.72303002092616</v>
      </c>
      <c r="L71">
        <f t="shared" ca="1" si="64"/>
        <v>106.88999707401966</v>
      </c>
      <c r="M71">
        <f t="shared" ca="1" si="64"/>
        <v>110.62736970381107</v>
      </c>
      <c r="N71">
        <f t="shared" ca="1" si="64"/>
        <v>106.63326617619016</v>
      </c>
    </row>
    <row r="72" spans="1:14">
      <c r="A72" t="s">
        <v>83</v>
      </c>
      <c r="B72">
        <f t="shared" si="3"/>
        <v>100</v>
      </c>
      <c r="C72">
        <f t="shared" ref="C72:N72" ca="1" si="65">B72*EXP($B$4+$B$3*SQRT(1)*NORMSINV(RAND()))</f>
        <v>102.44967865591599</v>
      </c>
      <c r="D72">
        <f t="shared" ca="1" si="65"/>
        <v>107.93624260040198</v>
      </c>
      <c r="E72">
        <f t="shared" ca="1" si="65"/>
        <v>107.16374884958962</v>
      </c>
      <c r="F72">
        <f t="shared" ca="1" si="65"/>
        <v>109.6467652501028</v>
      </c>
      <c r="G72">
        <f t="shared" ca="1" si="65"/>
        <v>114.01421405727262</v>
      </c>
      <c r="H72">
        <f t="shared" ca="1" si="65"/>
        <v>112.01632328210199</v>
      </c>
      <c r="I72">
        <f t="shared" ca="1" si="65"/>
        <v>113.10913210240014</v>
      </c>
      <c r="J72">
        <f t="shared" ca="1" si="65"/>
        <v>109.30702443668193</v>
      </c>
      <c r="K72">
        <f t="shared" ca="1" si="65"/>
        <v>113.00730730655161</v>
      </c>
      <c r="L72">
        <f t="shared" ca="1" si="65"/>
        <v>112.41648460362235</v>
      </c>
      <c r="M72">
        <f t="shared" ca="1" si="65"/>
        <v>115.57747303176667</v>
      </c>
      <c r="N72">
        <f t="shared" ca="1" si="65"/>
        <v>116.51905286421805</v>
      </c>
    </row>
    <row r="73" spans="1:14">
      <c r="A73" t="s">
        <v>84</v>
      </c>
      <c r="B73">
        <f t="shared" si="3"/>
        <v>100</v>
      </c>
      <c r="C73">
        <f t="shared" ref="C73:N73" ca="1" si="66">B73*EXP($B$4+$B$3*SQRT(1)*NORMSINV(RAND()))</f>
        <v>101.11847167387262</v>
      </c>
      <c r="D73">
        <f t="shared" ca="1" si="66"/>
        <v>99.575372116630348</v>
      </c>
      <c r="E73">
        <f t="shared" ca="1" si="66"/>
        <v>101.40151031999702</v>
      </c>
      <c r="F73">
        <f t="shared" ca="1" si="66"/>
        <v>98.94597402011108</v>
      </c>
      <c r="G73">
        <f t="shared" ca="1" si="66"/>
        <v>100.63912242051254</v>
      </c>
      <c r="H73">
        <f t="shared" ca="1" si="66"/>
        <v>101.72952563473332</v>
      </c>
      <c r="I73">
        <f t="shared" ca="1" si="66"/>
        <v>101.98625301279097</v>
      </c>
      <c r="J73">
        <f t="shared" ca="1" si="66"/>
        <v>98.551761797756654</v>
      </c>
      <c r="K73">
        <f t="shared" ca="1" si="66"/>
        <v>97.841837316115232</v>
      </c>
      <c r="L73">
        <f t="shared" ca="1" si="66"/>
        <v>97.099231886390783</v>
      </c>
      <c r="M73">
        <f t="shared" ca="1" si="66"/>
        <v>98.622964690639307</v>
      </c>
      <c r="N73">
        <f t="shared" ca="1" si="66"/>
        <v>98.840065013147679</v>
      </c>
    </row>
    <row r="74" spans="1:14">
      <c r="A74" t="s">
        <v>85</v>
      </c>
      <c r="B74">
        <f t="shared" si="3"/>
        <v>100</v>
      </c>
      <c r="C74">
        <f t="shared" ref="C74:N74" ca="1" si="67">B74*EXP($B$4+$B$3*SQRT(1)*NORMSINV(RAND()))</f>
        <v>98.650975820748215</v>
      </c>
      <c r="D74">
        <f t="shared" ca="1" si="67"/>
        <v>98.789756141783997</v>
      </c>
      <c r="E74">
        <f t="shared" ca="1" si="67"/>
        <v>99.224401915539701</v>
      </c>
      <c r="F74">
        <f t="shared" ca="1" si="67"/>
        <v>99.297756181997457</v>
      </c>
      <c r="G74">
        <f t="shared" ca="1" si="67"/>
        <v>98.952674883915023</v>
      </c>
      <c r="H74">
        <f t="shared" ca="1" si="67"/>
        <v>98.2348192631449</v>
      </c>
      <c r="I74">
        <f t="shared" ca="1" si="67"/>
        <v>94.658498088862558</v>
      </c>
      <c r="J74">
        <f t="shared" ca="1" si="67"/>
        <v>92.275357267296442</v>
      </c>
      <c r="K74">
        <f t="shared" ca="1" si="67"/>
        <v>92.532182182847222</v>
      </c>
      <c r="L74">
        <f t="shared" ca="1" si="67"/>
        <v>88.775217335920814</v>
      </c>
      <c r="M74">
        <f t="shared" ca="1" si="67"/>
        <v>90.228155044293672</v>
      </c>
      <c r="N74">
        <f t="shared" ca="1" si="67"/>
        <v>91.92592511502437</v>
      </c>
    </row>
    <row r="75" spans="1:14">
      <c r="A75" t="s">
        <v>86</v>
      </c>
      <c r="B75">
        <f t="shared" ref="B75:B108" si="68">$B$7</f>
        <v>100</v>
      </c>
      <c r="C75">
        <f t="shared" ref="C75:N75" ca="1" si="69">B75*EXP($B$4+$B$3*SQRT(1)*NORMSINV(RAND()))</f>
        <v>95.271423563770938</v>
      </c>
      <c r="D75">
        <f t="shared" ca="1" si="69"/>
        <v>95.497675904706213</v>
      </c>
      <c r="E75">
        <f t="shared" ca="1" si="69"/>
        <v>102.40250790085403</v>
      </c>
      <c r="F75">
        <f t="shared" ca="1" si="69"/>
        <v>99.444131954912237</v>
      </c>
      <c r="G75">
        <f t="shared" ca="1" si="69"/>
        <v>97.447379877556727</v>
      </c>
      <c r="H75">
        <f t="shared" ca="1" si="69"/>
        <v>95.277122791963379</v>
      </c>
      <c r="I75">
        <f t="shared" ca="1" si="69"/>
        <v>94.217033936782073</v>
      </c>
      <c r="J75">
        <f t="shared" ca="1" si="69"/>
        <v>93.101657929090038</v>
      </c>
      <c r="K75">
        <f t="shared" ca="1" si="69"/>
        <v>92.549111122290498</v>
      </c>
      <c r="L75">
        <f t="shared" ca="1" si="69"/>
        <v>89.067523123171867</v>
      </c>
      <c r="M75">
        <f t="shared" ca="1" si="69"/>
        <v>85.288739245411037</v>
      </c>
      <c r="N75">
        <f t="shared" ca="1" si="69"/>
        <v>83.239212583996292</v>
      </c>
    </row>
    <row r="76" spans="1:14">
      <c r="A76" t="s">
        <v>87</v>
      </c>
      <c r="B76">
        <f t="shared" si="68"/>
        <v>100</v>
      </c>
      <c r="C76">
        <f t="shared" ref="C76:N76" ca="1" si="70">B76*EXP($B$4+$B$3*SQRT(1)*NORMSINV(RAND()))</f>
        <v>99.099791868148088</v>
      </c>
      <c r="D76">
        <f t="shared" ca="1" si="70"/>
        <v>101.17053005835591</v>
      </c>
      <c r="E76">
        <f t="shared" ca="1" si="70"/>
        <v>96.84987219926883</v>
      </c>
      <c r="F76">
        <f t="shared" ca="1" si="70"/>
        <v>96.01020091631942</v>
      </c>
      <c r="G76">
        <f t="shared" ca="1" si="70"/>
        <v>94.441268265209757</v>
      </c>
      <c r="H76">
        <f t="shared" ca="1" si="70"/>
        <v>87.299499053289907</v>
      </c>
      <c r="I76">
        <f t="shared" ca="1" si="70"/>
        <v>86.479345063235826</v>
      </c>
      <c r="J76">
        <f t="shared" ca="1" si="70"/>
        <v>87.043449229247187</v>
      </c>
      <c r="K76">
        <f t="shared" ca="1" si="70"/>
        <v>83.08689507706039</v>
      </c>
      <c r="L76">
        <f t="shared" ca="1" si="70"/>
        <v>84.177747975730711</v>
      </c>
      <c r="M76">
        <f t="shared" ca="1" si="70"/>
        <v>84.653704477081732</v>
      </c>
      <c r="N76">
        <f t="shared" ca="1" si="70"/>
        <v>85.944055589906412</v>
      </c>
    </row>
    <row r="77" spans="1:14">
      <c r="A77" t="s">
        <v>88</v>
      </c>
      <c r="B77">
        <f t="shared" si="68"/>
        <v>100</v>
      </c>
      <c r="C77">
        <f t="shared" ref="C77:N77" ca="1" si="71">B77*EXP($B$4+$B$3*SQRT(1)*NORMSINV(RAND()))</f>
        <v>102.71623264136377</v>
      </c>
      <c r="D77">
        <f t="shared" ca="1" si="71"/>
        <v>107.61496283964445</v>
      </c>
      <c r="E77">
        <f t="shared" ca="1" si="71"/>
        <v>107.72490033974759</v>
      </c>
      <c r="F77">
        <f t="shared" ca="1" si="71"/>
        <v>105.94381105754896</v>
      </c>
      <c r="G77">
        <f t="shared" ca="1" si="71"/>
        <v>105.40841336845966</v>
      </c>
      <c r="H77">
        <f t="shared" ca="1" si="71"/>
        <v>102.56799844454491</v>
      </c>
      <c r="I77">
        <f t="shared" ca="1" si="71"/>
        <v>104.52959437336743</v>
      </c>
      <c r="J77">
        <f t="shared" ca="1" si="71"/>
        <v>100.95166785413464</v>
      </c>
      <c r="K77">
        <f t="shared" ca="1" si="71"/>
        <v>101.60537971089195</v>
      </c>
      <c r="L77">
        <f t="shared" ca="1" si="71"/>
        <v>104.39932539347451</v>
      </c>
      <c r="M77">
        <f t="shared" ca="1" si="71"/>
        <v>105.71312371131415</v>
      </c>
      <c r="N77">
        <f t="shared" ca="1" si="71"/>
        <v>104.4142731109729</v>
      </c>
    </row>
    <row r="78" spans="1:14">
      <c r="A78" t="s">
        <v>89</v>
      </c>
      <c r="B78">
        <f t="shared" si="68"/>
        <v>100</v>
      </c>
      <c r="C78">
        <f t="shared" ref="C78:N78" ca="1" si="72">B78*EXP($B$4+$B$3*SQRT(1)*NORMSINV(RAND()))</f>
        <v>104.18474310075392</v>
      </c>
      <c r="D78">
        <f t="shared" ca="1" si="72"/>
        <v>104.89869439698548</v>
      </c>
      <c r="E78">
        <f t="shared" ca="1" si="72"/>
        <v>104.77847203550941</v>
      </c>
      <c r="F78">
        <f t="shared" ca="1" si="72"/>
        <v>100.92864159691153</v>
      </c>
      <c r="G78">
        <f t="shared" ca="1" si="72"/>
        <v>105.51664154406491</v>
      </c>
      <c r="H78">
        <f t="shared" ca="1" si="72"/>
        <v>103.15283167891565</v>
      </c>
      <c r="I78">
        <f t="shared" ca="1" si="72"/>
        <v>105.954733101115</v>
      </c>
      <c r="J78">
        <f t="shared" ca="1" si="72"/>
        <v>103.31353683855384</v>
      </c>
      <c r="K78">
        <f t="shared" ca="1" si="72"/>
        <v>98.426183245672505</v>
      </c>
      <c r="L78">
        <f t="shared" ca="1" si="72"/>
        <v>99.663139272044262</v>
      </c>
      <c r="M78">
        <f t="shared" ca="1" si="72"/>
        <v>99.358874190874971</v>
      </c>
      <c r="N78">
        <f t="shared" ca="1" si="72"/>
        <v>99.807805994329144</v>
      </c>
    </row>
    <row r="79" spans="1:14">
      <c r="A79" t="s">
        <v>90</v>
      </c>
      <c r="B79">
        <f t="shared" si="68"/>
        <v>100</v>
      </c>
      <c r="C79">
        <f t="shared" ref="C79:N79" ca="1" si="73">B79*EXP($B$4+$B$3*SQRT(1)*NORMSINV(RAND()))</f>
        <v>104.56085656779533</v>
      </c>
      <c r="D79">
        <f t="shared" ca="1" si="73"/>
        <v>101.13054193805027</v>
      </c>
      <c r="E79">
        <f t="shared" ca="1" si="73"/>
        <v>101.96432563161103</v>
      </c>
      <c r="F79">
        <f t="shared" ca="1" si="73"/>
        <v>106.48734592642657</v>
      </c>
      <c r="G79">
        <f t="shared" ca="1" si="73"/>
        <v>109.88122926617828</v>
      </c>
      <c r="H79">
        <f t="shared" ca="1" si="73"/>
        <v>105.21052733087495</v>
      </c>
      <c r="I79">
        <f t="shared" ca="1" si="73"/>
        <v>102.35639034986059</v>
      </c>
      <c r="J79">
        <f t="shared" ca="1" si="73"/>
        <v>98.728798414909548</v>
      </c>
      <c r="K79">
        <f t="shared" ca="1" si="73"/>
        <v>97.658628836098615</v>
      </c>
      <c r="L79">
        <f t="shared" ca="1" si="73"/>
        <v>95.605337089604575</v>
      </c>
      <c r="M79">
        <f t="shared" ca="1" si="73"/>
        <v>95.735032659252525</v>
      </c>
      <c r="N79">
        <f t="shared" ca="1" si="73"/>
        <v>94.91291382485845</v>
      </c>
    </row>
    <row r="80" spans="1:14">
      <c r="A80" t="s">
        <v>91</v>
      </c>
      <c r="B80">
        <f t="shared" si="68"/>
        <v>100</v>
      </c>
      <c r="C80">
        <f t="shared" ref="C80:N80" ca="1" si="74">B80*EXP($B$4+$B$3*SQRT(1)*NORMSINV(RAND()))</f>
        <v>97.453206337039092</v>
      </c>
      <c r="D80">
        <f t="shared" ca="1" si="74"/>
        <v>97.793794622772381</v>
      </c>
      <c r="E80">
        <f t="shared" ca="1" si="74"/>
        <v>98.368717856877666</v>
      </c>
      <c r="F80">
        <f t="shared" ca="1" si="74"/>
        <v>98.6416285807489</v>
      </c>
      <c r="G80">
        <f t="shared" ca="1" si="74"/>
        <v>94.732870202416592</v>
      </c>
      <c r="H80">
        <f t="shared" ca="1" si="74"/>
        <v>99.857558146691446</v>
      </c>
      <c r="I80">
        <f t="shared" ca="1" si="74"/>
        <v>100.7995081755122</v>
      </c>
      <c r="J80">
        <f t="shared" ca="1" si="74"/>
        <v>103.68739392860518</v>
      </c>
      <c r="K80">
        <f t="shared" ca="1" si="74"/>
        <v>101.59755092465784</v>
      </c>
      <c r="L80">
        <f t="shared" ca="1" si="74"/>
        <v>98.48979447192302</v>
      </c>
      <c r="M80">
        <f t="shared" ca="1" si="74"/>
        <v>98.068202419369356</v>
      </c>
      <c r="N80">
        <f t="shared" ca="1" si="74"/>
        <v>105.53872151704418</v>
      </c>
    </row>
    <row r="81" spans="1:14">
      <c r="A81" t="s">
        <v>92</v>
      </c>
      <c r="B81">
        <f t="shared" si="68"/>
        <v>100</v>
      </c>
      <c r="C81">
        <f t="shared" ref="C81:N81" ca="1" si="75">B81*EXP($B$4+$B$3*SQRT(1)*NORMSINV(RAND()))</f>
        <v>98.185285308210695</v>
      </c>
      <c r="D81">
        <f t="shared" ca="1" si="75"/>
        <v>102.58525306259682</v>
      </c>
      <c r="E81">
        <f t="shared" ca="1" si="75"/>
        <v>107.99668960218997</v>
      </c>
      <c r="F81">
        <f t="shared" ca="1" si="75"/>
        <v>111.26583372695256</v>
      </c>
      <c r="G81">
        <f t="shared" ca="1" si="75"/>
        <v>113.44582878487896</v>
      </c>
      <c r="H81">
        <f t="shared" ca="1" si="75"/>
        <v>115.15252416999368</v>
      </c>
      <c r="I81">
        <f t="shared" ca="1" si="75"/>
        <v>116.3902984377132</v>
      </c>
      <c r="J81">
        <f t="shared" ca="1" si="75"/>
        <v>121.93400630962971</v>
      </c>
      <c r="K81">
        <f t="shared" ca="1" si="75"/>
        <v>119.05576382665606</v>
      </c>
      <c r="L81">
        <f t="shared" ca="1" si="75"/>
        <v>115.08682917463439</v>
      </c>
      <c r="M81">
        <f t="shared" ca="1" si="75"/>
        <v>115.95629019897905</v>
      </c>
      <c r="N81">
        <f t="shared" ca="1" si="75"/>
        <v>114.43668263144332</v>
      </c>
    </row>
    <row r="82" spans="1:14">
      <c r="A82" t="s">
        <v>93</v>
      </c>
      <c r="B82">
        <f t="shared" si="68"/>
        <v>100</v>
      </c>
      <c r="C82">
        <f t="shared" ref="C82:N82" ca="1" si="76">B82*EXP($B$4+$B$3*SQRT(1)*NORMSINV(RAND()))</f>
        <v>101.5704191795225</v>
      </c>
      <c r="D82">
        <f t="shared" ca="1" si="76"/>
        <v>103.45156759620885</v>
      </c>
      <c r="E82">
        <f t="shared" ca="1" si="76"/>
        <v>102.27445293855045</v>
      </c>
      <c r="F82">
        <f t="shared" ca="1" si="76"/>
        <v>104.05592408082344</v>
      </c>
      <c r="G82">
        <f t="shared" ca="1" si="76"/>
        <v>109.8624105820429</v>
      </c>
      <c r="H82">
        <f t="shared" ca="1" si="76"/>
        <v>103.90283989136316</v>
      </c>
      <c r="I82">
        <f t="shared" ca="1" si="76"/>
        <v>104.98171975552349</v>
      </c>
      <c r="J82">
        <f t="shared" ca="1" si="76"/>
        <v>107.7027721811201</v>
      </c>
      <c r="K82">
        <f t="shared" ca="1" si="76"/>
        <v>105.31203890759211</v>
      </c>
      <c r="L82">
        <f t="shared" ca="1" si="76"/>
        <v>107.13052723198162</v>
      </c>
      <c r="M82">
        <f t="shared" ca="1" si="76"/>
        <v>109.53735252728261</v>
      </c>
      <c r="N82">
        <f t="shared" ca="1" si="76"/>
        <v>105.31821714131942</v>
      </c>
    </row>
    <row r="83" spans="1:14">
      <c r="A83" t="s">
        <v>94</v>
      </c>
      <c r="B83">
        <f t="shared" si="68"/>
        <v>100</v>
      </c>
      <c r="C83">
        <f t="shared" ref="C83:N83" ca="1" si="77">B83*EXP($B$4+$B$3*SQRT(1)*NORMSINV(RAND()))</f>
        <v>96.342998711918341</v>
      </c>
      <c r="D83">
        <f t="shared" ca="1" si="77"/>
        <v>97.284046947190802</v>
      </c>
      <c r="E83">
        <f t="shared" ca="1" si="77"/>
        <v>96.500599660802862</v>
      </c>
      <c r="F83">
        <f t="shared" ca="1" si="77"/>
        <v>95.019297141031089</v>
      </c>
      <c r="G83">
        <f t="shared" ca="1" si="77"/>
        <v>93.637743807895689</v>
      </c>
      <c r="H83">
        <f t="shared" ca="1" si="77"/>
        <v>93.352753937885637</v>
      </c>
      <c r="I83">
        <f t="shared" ca="1" si="77"/>
        <v>96.396794940892931</v>
      </c>
      <c r="J83">
        <f t="shared" ca="1" si="77"/>
        <v>94.623121309432108</v>
      </c>
      <c r="K83">
        <f t="shared" ca="1" si="77"/>
        <v>93.019462972906794</v>
      </c>
      <c r="L83">
        <f t="shared" ca="1" si="77"/>
        <v>93.294078610389278</v>
      </c>
      <c r="M83">
        <f t="shared" ca="1" si="77"/>
        <v>92.807088988350884</v>
      </c>
      <c r="N83">
        <f t="shared" ca="1" si="77"/>
        <v>92.769577470390161</v>
      </c>
    </row>
    <row r="84" spans="1:14">
      <c r="A84" t="s">
        <v>95</v>
      </c>
      <c r="B84">
        <f t="shared" si="68"/>
        <v>100</v>
      </c>
      <c r="C84">
        <f t="shared" ref="C84:N84" ca="1" si="78">B84*EXP($B$4+$B$3*SQRT(1)*NORMSINV(RAND()))</f>
        <v>103.39867190060478</v>
      </c>
      <c r="D84">
        <f t="shared" ca="1" si="78"/>
        <v>96.362754453563937</v>
      </c>
      <c r="E84">
        <f t="shared" ca="1" si="78"/>
        <v>96.011430051270992</v>
      </c>
      <c r="F84">
        <f t="shared" ca="1" si="78"/>
        <v>92.101702367713628</v>
      </c>
      <c r="G84">
        <f t="shared" ca="1" si="78"/>
        <v>88.943766785903861</v>
      </c>
      <c r="H84">
        <f t="shared" ca="1" si="78"/>
        <v>90.544975051321643</v>
      </c>
      <c r="I84">
        <f t="shared" ca="1" si="78"/>
        <v>88.943882620591452</v>
      </c>
      <c r="J84">
        <f t="shared" ca="1" si="78"/>
        <v>90.911480950637383</v>
      </c>
      <c r="K84">
        <f t="shared" ca="1" si="78"/>
        <v>92.333850315268307</v>
      </c>
      <c r="L84">
        <f t="shared" ca="1" si="78"/>
        <v>86.564063793977681</v>
      </c>
      <c r="M84">
        <f t="shared" ca="1" si="78"/>
        <v>83.521942107698806</v>
      </c>
      <c r="N84">
        <f t="shared" ca="1" si="78"/>
        <v>83.434758011152866</v>
      </c>
    </row>
    <row r="85" spans="1:14">
      <c r="A85" t="s">
        <v>96</v>
      </c>
      <c r="B85">
        <f t="shared" si="68"/>
        <v>100</v>
      </c>
      <c r="C85">
        <f t="shared" ref="C85:N85" ca="1" si="79">B85*EXP($B$4+$B$3*SQRT(1)*NORMSINV(RAND()))</f>
        <v>101.80754038087034</v>
      </c>
      <c r="D85">
        <f t="shared" ca="1" si="79"/>
        <v>108.54821683099092</v>
      </c>
      <c r="E85">
        <f t="shared" ca="1" si="79"/>
        <v>109.34310984747219</v>
      </c>
      <c r="F85">
        <f t="shared" ca="1" si="79"/>
        <v>108.69377431671263</v>
      </c>
      <c r="G85">
        <f t="shared" ca="1" si="79"/>
        <v>115.5842365780176</v>
      </c>
      <c r="H85">
        <f t="shared" ca="1" si="79"/>
        <v>117.31700409401432</v>
      </c>
      <c r="I85">
        <f t="shared" ca="1" si="79"/>
        <v>115.84776637293936</v>
      </c>
      <c r="J85">
        <f t="shared" ca="1" si="79"/>
        <v>112.72319174212156</v>
      </c>
      <c r="K85">
        <f t="shared" ca="1" si="79"/>
        <v>114.75950656971412</v>
      </c>
      <c r="L85">
        <f t="shared" ca="1" si="79"/>
        <v>113.79699762957533</v>
      </c>
      <c r="M85">
        <f t="shared" ca="1" si="79"/>
        <v>114.29289648594272</v>
      </c>
      <c r="N85">
        <f t="shared" ca="1" si="79"/>
        <v>110.68995926805488</v>
      </c>
    </row>
    <row r="86" spans="1:14">
      <c r="A86" t="s">
        <v>97</v>
      </c>
      <c r="B86">
        <f t="shared" si="68"/>
        <v>100</v>
      </c>
      <c r="C86">
        <f t="shared" ref="C86:N86" ca="1" si="80">B86*EXP($B$4+$B$3*SQRT(1)*NORMSINV(RAND()))</f>
        <v>104.63194584019149</v>
      </c>
      <c r="D86">
        <f t="shared" ca="1" si="80"/>
        <v>102.07602546775183</v>
      </c>
      <c r="E86">
        <f t="shared" ca="1" si="80"/>
        <v>104.22385730601464</v>
      </c>
      <c r="F86">
        <f t="shared" ca="1" si="80"/>
        <v>103.93266910741576</v>
      </c>
      <c r="G86">
        <f t="shared" ca="1" si="80"/>
        <v>105.58060829371531</v>
      </c>
      <c r="H86">
        <f t="shared" ca="1" si="80"/>
        <v>106.23987032701119</v>
      </c>
      <c r="I86">
        <f t="shared" ca="1" si="80"/>
        <v>102.57153134491779</v>
      </c>
      <c r="J86">
        <f t="shared" ca="1" si="80"/>
        <v>105.80808001397455</v>
      </c>
      <c r="K86">
        <f t="shared" ca="1" si="80"/>
        <v>103.03758133816351</v>
      </c>
      <c r="L86">
        <f t="shared" ca="1" si="80"/>
        <v>99.451318698739996</v>
      </c>
      <c r="M86">
        <f t="shared" ca="1" si="80"/>
        <v>99.342477891457648</v>
      </c>
      <c r="N86">
        <f t="shared" ca="1" si="80"/>
        <v>96.992654542147037</v>
      </c>
    </row>
    <row r="87" spans="1:14">
      <c r="A87" t="s">
        <v>98</v>
      </c>
      <c r="B87">
        <f t="shared" si="68"/>
        <v>100</v>
      </c>
      <c r="C87">
        <f t="shared" ref="C87:N87" ca="1" si="81">B87*EXP($B$4+$B$3*SQRT(1)*NORMSINV(RAND()))</f>
        <v>93.610216648433124</v>
      </c>
      <c r="D87">
        <f t="shared" ca="1" si="81"/>
        <v>97.944444773774762</v>
      </c>
      <c r="E87">
        <f t="shared" ca="1" si="81"/>
        <v>97.429086482394041</v>
      </c>
      <c r="F87">
        <f t="shared" ca="1" si="81"/>
        <v>97.13991714005671</v>
      </c>
      <c r="G87">
        <f t="shared" ca="1" si="81"/>
        <v>95.220743291689089</v>
      </c>
      <c r="H87">
        <f t="shared" ca="1" si="81"/>
        <v>89.848986575454177</v>
      </c>
      <c r="I87">
        <f t="shared" ca="1" si="81"/>
        <v>92.31139943203469</v>
      </c>
      <c r="J87">
        <f t="shared" ca="1" si="81"/>
        <v>93.293120836725009</v>
      </c>
      <c r="K87">
        <f t="shared" ca="1" si="81"/>
        <v>94.217910360722811</v>
      </c>
      <c r="L87">
        <f t="shared" ca="1" si="81"/>
        <v>98.204389750195674</v>
      </c>
      <c r="M87">
        <f t="shared" ca="1" si="81"/>
        <v>95.368872609914078</v>
      </c>
      <c r="N87">
        <f t="shared" ca="1" si="81"/>
        <v>92.677302624117189</v>
      </c>
    </row>
    <row r="88" spans="1:14">
      <c r="A88" t="s">
        <v>99</v>
      </c>
      <c r="B88">
        <f t="shared" si="68"/>
        <v>100</v>
      </c>
      <c r="C88">
        <f t="shared" ref="C88:N88" ca="1" si="82">B88*EXP($B$4+$B$3*SQRT(1)*NORMSINV(RAND()))</f>
        <v>100.22544529877395</v>
      </c>
      <c r="D88">
        <f t="shared" ca="1" si="82"/>
        <v>101.21299608685557</v>
      </c>
      <c r="E88">
        <f t="shared" ca="1" si="82"/>
        <v>99.024203330795416</v>
      </c>
      <c r="F88">
        <f t="shared" ca="1" si="82"/>
        <v>96.822171492894185</v>
      </c>
      <c r="G88">
        <f t="shared" ca="1" si="82"/>
        <v>94.009140407734009</v>
      </c>
      <c r="H88">
        <f t="shared" ca="1" si="82"/>
        <v>94.887216747550951</v>
      </c>
      <c r="I88">
        <f t="shared" ca="1" si="82"/>
        <v>91.754545219726779</v>
      </c>
      <c r="J88">
        <f t="shared" ca="1" si="82"/>
        <v>90.75232477267808</v>
      </c>
      <c r="K88">
        <f t="shared" ca="1" si="82"/>
        <v>93.202314419125301</v>
      </c>
      <c r="L88">
        <f t="shared" ca="1" si="82"/>
        <v>93.889583700805488</v>
      </c>
      <c r="M88">
        <f t="shared" ca="1" si="82"/>
        <v>91.771888637719528</v>
      </c>
      <c r="N88">
        <f t="shared" ca="1" si="82"/>
        <v>97.137652832442171</v>
      </c>
    </row>
    <row r="89" spans="1:14">
      <c r="A89" t="s">
        <v>100</v>
      </c>
      <c r="B89">
        <f t="shared" si="68"/>
        <v>100</v>
      </c>
      <c r="C89">
        <f t="shared" ref="C89:N89" ca="1" si="83">B89*EXP($B$4+$B$3*SQRT(1)*NORMSINV(RAND()))</f>
        <v>103.6877600475423</v>
      </c>
      <c r="D89">
        <f t="shared" ca="1" si="83"/>
        <v>105.62104552776984</v>
      </c>
      <c r="E89">
        <f t="shared" ca="1" si="83"/>
        <v>105.80440018817383</v>
      </c>
      <c r="F89">
        <f t="shared" ca="1" si="83"/>
        <v>101.18487965144351</v>
      </c>
      <c r="G89">
        <f t="shared" ca="1" si="83"/>
        <v>106.41478282297284</v>
      </c>
      <c r="H89">
        <f t="shared" ca="1" si="83"/>
        <v>105.96394296676466</v>
      </c>
      <c r="I89">
        <f t="shared" ca="1" si="83"/>
        <v>107.57018374850537</v>
      </c>
      <c r="J89">
        <f t="shared" ca="1" si="83"/>
        <v>111.43037131190086</v>
      </c>
      <c r="K89">
        <f t="shared" ca="1" si="83"/>
        <v>115.05289134173836</v>
      </c>
      <c r="L89">
        <f t="shared" ca="1" si="83"/>
        <v>117.56381454036328</v>
      </c>
      <c r="M89">
        <f t="shared" ca="1" si="83"/>
        <v>119.77906955850167</v>
      </c>
      <c r="N89">
        <f t="shared" ca="1" si="83"/>
        <v>119.78885373417646</v>
      </c>
    </row>
    <row r="90" spans="1:14">
      <c r="A90" t="s">
        <v>101</v>
      </c>
      <c r="B90">
        <f t="shared" si="68"/>
        <v>100</v>
      </c>
      <c r="C90">
        <f t="shared" ref="C90:N90" ca="1" si="84">B90*EXP($B$4+$B$3*SQRT(1)*NORMSINV(RAND()))</f>
        <v>95.040296335847913</v>
      </c>
      <c r="D90">
        <f t="shared" ca="1" si="84"/>
        <v>97.586645071691194</v>
      </c>
      <c r="E90">
        <f t="shared" ca="1" si="84"/>
        <v>97.529854582817947</v>
      </c>
      <c r="F90">
        <f t="shared" ca="1" si="84"/>
        <v>100.55710973454154</v>
      </c>
      <c r="G90">
        <f t="shared" ca="1" si="84"/>
        <v>98.984433517920067</v>
      </c>
      <c r="H90">
        <f t="shared" ca="1" si="84"/>
        <v>106.61596364030628</v>
      </c>
      <c r="I90">
        <f t="shared" ca="1" si="84"/>
        <v>107.61513790459642</v>
      </c>
      <c r="J90">
        <f t="shared" ca="1" si="84"/>
        <v>103.59192690747496</v>
      </c>
      <c r="K90">
        <f t="shared" ca="1" si="84"/>
        <v>106.09436122420136</v>
      </c>
      <c r="L90">
        <f t="shared" ca="1" si="84"/>
        <v>100.14135304750964</v>
      </c>
      <c r="M90">
        <f t="shared" ca="1" si="84"/>
        <v>97.51653560671997</v>
      </c>
      <c r="N90">
        <f t="shared" ca="1" si="84"/>
        <v>102.3636559632443</v>
      </c>
    </row>
    <row r="91" spans="1:14">
      <c r="A91" t="s">
        <v>102</v>
      </c>
      <c r="B91">
        <f t="shared" si="68"/>
        <v>100</v>
      </c>
      <c r="C91">
        <f t="shared" ref="C91:N91" ca="1" si="85">B91*EXP($B$4+$B$3*SQRT(1)*NORMSINV(RAND()))</f>
        <v>99.015945444272447</v>
      </c>
      <c r="D91">
        <f t="shared" ca="1" si="85"/>
        <v>102.46327763661779</v>
      </c>
      <c r="E91">
        <f t="shared" ca="1" si="85"/>
        <v>104.81402607087918</v>
      </c>
      <c r="F91">
        <f t="shared" ca="1" si="85"/>
        <v>106.01836767821565</v>
      </c>
      <c r="G91">
        <f t="shared" ca="1" si="85"/>
        <v>102.00181940024008</v>
      </c>
      <c r="H91">
        <f t="shared" ca="1" si="85"/>
        <v>103.04633035221801</v>
      </c>
      <c r="I91">
        <f t="shared" ca="1" si="85"/>
        <v>101.53731567234482</v>
      </c>
      <c r="J91">
        <f t="shared" ca="1" si="85"/>
        <v>100.42258960393582</v>
      </c>
      <c r="K91">
        <f t="shared" ca="1" si="85"/>
        <v>103.29893758467378</v>
      </c>
      <c r="L91">
        <f t="shared" ca="1" si="85"/>
        <v>102.4562741426116</v>
      </c>
      <c r="M91">
        <f t="shared" ca="1" si="85"/>
        <v>104.30286382381024</v>
      </c>
      <c r="N91">
        <f t="shared" ca="1" si="85"/>
        <v>108.65994315057412</v>
      </c>
    </row>
    <row r="92" spans="1:14">
      <c r="A92" t="s">
        <v>103</v>
      </c>
      <c r="B92">
        <f t="shared" si="68"/>
        <v>100</v>
      </c>
      <c r="C92">
        <f t="shared" ref="C92:N92" ca="1" si="86">B92*EXP($B$4+$B$3*SQRT(1)*NORMSINV(RAND()))</f>
        <v>103.26416203197741</v>
      </c>
      <c r="D92">
        <f t="shared" ca="1" si="86"/>
        <v>101.83464901256509</v>
      </c>
      <c r="E92">
        <f t="shared" ca="1" si="86"/>
        <v>97.829208144760358</v>
      </c>
      <c r="F92">
        <f t="shared" ca="1" si="86"/>
        <v>99.195301341716856</v>
      </c>
      <c r="G92">
        <f t="shared" ca="1" si="86"/>
        <v>96.324855749654716</v>
      </c>
      <c r="H92">
        <f t="shared" ca="1" si="86"/>
        <v>90.105520454573181</v>
      </c>
      <c r="I92">
        <f t="shared" ca="1" si="86"/>
        <v>92.407645260590783</v>
      </c>
      <c r="J92">
        <f t="shared" ca="1" si="86"/>
        <v>94.189951897705996</v>
      </c>
      <c r="K92">
        <f t="shared" ca="1" si="86"/>
        <v>91.756775354555515</v>
      </c>
      <c r="L92">
        <f t="shared" ca="1" si="86"/>
        <v>90.41812782040509</v>
      </c>
      <c r="M92">
        <f t="shared" ca="1" si="86"/>
        <v>91.501694153006625</v>
      </c>
      <c r="N92">
        <f t="shared" ca="1" si="86"/>
        <v>89.705632135379972</v>
      </c>
    </row>
    <row r="93" spans="1:14">
      <c r="A93" t="s">
        <v>104</v>
      </c>
      <c r="B93">
        <f t="shared" si="68"/>
        <v>100</v>
      </c>
      <c r="C93">
        <f t="shared" ref="C93:N93" ca="1" si="87">B93*EXP($B$4+$B$3*SQRT(1)*NORMSINV(RAND()))</f>
        <v>97.866266856499763</v>
      </c>
      <c r="D93">
        <f t="shared" ca="1" si="87"/>
        <v>106.2072675583739</v>
      </c>
      <c r="E93">
        <f t="shared" ca="1" si="87"/>
        <v>106.35722349223498</v>
      </c>
      <c r="F93">
        <f t="shared" ca="1" si="87"/>
        <v>110.40389469217317</v>
      </c>
      <c r="G93">
        <f t="shared" ca="1" si="87"/>
        <v>113.60315892554965</v>
      </c>
      <c r="H93">
        <f t="shared" ca="1" si="87"/>
        <v>109.22559949188542</v>
      </c>
      <c r="I93">
        <f t="shared" ca="1" si="87"/>
        <v>106.7223497219742</v>
      </c>
      <c r="J93">
        <f t="shared" ca="1" si="87"/>
        <v>106.93636538235069</v>
      </c>
      <c r="K93">
        <f t="shared" ca="1" si="87"/>
        <v>108.89595597025591</v>
      </c>
      <c r="L93">
        <f t="shared" ca="1" si="87"/>
        <v>105.89943657843159</v>
      </c>
      <c r="M93">
        <f t="shared" ca="1" si="87"/>
        <v>100.8242634918028</v>
      </c>
      <c r="N93">
        <f t="shared" ca="1" si="87"/>
        <v>99.513100263524422</v>
      </c>
    </row>
    <row r="94" spans="1:14">
      <c r="A94" t="s">
        <v>105</v>
      </c>
      <c r="B94">
        <f t="shared" si="68"/>
        <v>100</v>
      </c>
      <c r="C94">
        <f t="shared" ref="C94:N94" ca="1" si="88">B94*EXP($B$4+$B$3*SQRT(1)*NORMSINV(RAND()))</f>
        <v>100.109387684731</v>
      </c>
      <c r="D94">
        <f t="shared" ca="1" si="88"/>
        <v>95.570264484076546</v>
      </c>
      <c r="E94">
        <f t="shared" ca="1" si="88"/>
        <v>95.448026104391886</v>
      </c>
      <c r="F94">
        <f t="shared" ca="1" si="88"/>
        <v>94.872976780556783</v>
      </c>
      <c r="G94">
        <f t="shared" ca="1" si="88"/>
        <v>93.348443856654669</v>
      </c>
      <c r="H94">
        <f t="shared" ca="1" si="88"/>
        <v>91.8095030520183</v>
      </c>
      <c r="I94">
        <f t="shared" ca="1" si="88"/>
        <v>91.542534490755514</v>
      </c>
      <c r="J94">
        <f t="shared" ca="1" si="88"/>
        <v>94.323587533509638</v>
      </c>
      <c r="K94">
        <f t="shared" ca="1" si="88"/>
        <v>97.300769296639587</v>
      </c>
      <c r="L94">
        <f t="shared" ca="1" si="88"/>
        <v>93.241204339670972</v>
      </c>
      <c r="M94">
        <f t="shared" ca="1" si="88"/>
        <v>91.219379670048838</v>
      </c>
      <c r="N94">
        <f t="shared" ca="1" si="88"/>
        <v>92.126920117918672</v>
      </c>
    </row>
    <row r="95" spans="1:14">
      <c r="A95" t="s">
        <v>106</v>
      </c>
      <c r="B95">
        <f t="shared" si="68"/>
        <v>100</v>
      </c>
      <c r="C95">
        <f t="shared" ref="C95:N95" ca="1" si="89">B95*EXP($B$4+$B$3*SQRT(1)*NORMSINV(RAND()))</f>
        <v>101.43611396565093</v>
      </c>
      <c r="D95">
        <f t="shared" ca="1" si="89"/>
        <v>96.327192381762728</v>
      </c>
      <c r="E95">
        <f t="shared" ca="1" si="89"/>
        <v>96.428735312369611</v>
      </c>
      <c r="F95">
        <f t="shared" ca="1" si="89"/>
        <v>94.332269332112745</v>
      </c>
      <c r="G95">
        <f t="shared" ca="1" si="89"/>
        <v>96.376503129614676</v>
      </c>
      <c r="H95">
        <f t="shared" ca="1" si="89"/>
        <v>94.510682277344785</v>
      </c>
      <c r="I95">
        <f t="shared" ca="1" si="89"/>
        <v>94.257943665932487</v>
      </c>
      <c r="J95">
        <f t="shared" ca="1" si="89"/>
        <v>90.114773947811031</v>
      </c>
      <c r="K95">
        <f t="shared" ca="1" si="89"/>
        <v>88.452806044879722</v>
      </c>
      <c r="L95">
        <f t="shared" ca="1" si="89"/>
        <v>90.196828551041548</v>
      </c>
      <c r="M95">
        <f t="shared" ca="1" si="89"/>
        <v>93.330527194409839</v>
      </c>
      <c r="N95">
        <f t="shared" ca="1" si="89"/>
        <v>91.892002398875746</v>
      </c>
    </row>
    <row r="96" spans="1:14">
      <c r="A96" t="s">
        <v>107</v>
      </c>
      <c r="B96">
        <f t="shared" si="68"/>
        <v>100</v>
      </c>
      <c r="C96">
        <f t="shared" ref="C96:N96" ca="1" si="90">B96*EXP($B$4+$B$3*SQRT(1)*NORMSINV(RAND()))</f>
        <v>97.146699228479122</v>
      </c>
      <c r="D96">
        <f t="shared" ca="1" si="90"/>
        <v>98.712767144387357</v>
      </c>
      <c r="E96">
        <f t="shared" ca="1" si="90"/>
        <v>99.737917519678021</v>
      </c>
      <c r="F96">
        <f t="shared" ca="1" si="90"/>
        <v>97.876447007813553</v>
      </c>
      <c r="G96">
        <f t="shared" ca="1" si="90"/>
        <v>100.18896503867653</v>
      </c>
      <c r="H96">
        <f t="shared" ca="1" si="90"/>
        <v>100.01641542113988</v>
      </c>
      <c r="I96">
        <f t="shared" ca="1" si="90"/>
        <v>100.28149455209814</v>
      </c>
      <c r="J96">
        <f t="shared" ca="1" si="90"/>
        <v>101.37833241006668</v>
      </c>
      <c r="K96">
        <f t="shared" ca="1" si="90"/>
        <v>104.42718669112881</v>
      </c>
      <c r="L96">
        <f t="shared" ca="1" si="90"/>
        <v>105.50092118887525</v>
      </c>
      <c r="M96">
        <f t="shared" ca="1" si="90"/>
        <v>103.42991579909474</v>
      </c>
      <c r="N96">
        <f t="shared" ca="1" si="90"/>
        <v>101.68560066797214</v>
      </c>
    </row>
    <row r="97" spans="1:14">
      <c r="A97" t="s">
        <v>108</v>
      </c>
      <c r="B97">
        <f t="shared" si="68"/>
        <v>100</v>
      </c>
      <c r="C97">
        <f t="shared" ref="C97:N97" ca="1" si="91">B97*EXP($B$4+$B$3*SQRT(1)*NORMSINV(RAND()))</f>
        <v>99.033031045713287</v>
      </c>
      <c r="D97">
        <f t="shared" ca="1" si="91"/>
        <v>99.478485548605747</v>
      </c>
      <c r="E97">
        <f t="shared" ca="1" si="91"/>
        <v>99.336355702271504</v>
      </c>
      <c r="F97">
        <f t="shared" ca="1" si="91"/>
        <v>96.393055733476345</v>
      </c>
      <c r="G97">
        <f t="shared" ca="1" si="91"/>
        <v>99.474554483514012</v>
      </c>
      <c r="H97">
        <f t="shared" ca="1" si="91"/>
        <v>98.903586297744397</v>
      </c>
      <c r="I97">
        <f t="shared" ca="1" si="91"/>
        <v>99.430753761603782</v>
      </c>
      <c r="J97">
        <f t="shared" ca="1" si="91"/>
        <v>94.518384177445853</v>
      </c>
      <c r="K97">
        <f t="shared" ca="1" si="91"/>
        <v>92.139761209006139</v>
      </c>
      <c r="L97">
        <f t="shared" ca="1" si="91"/>
        <v>91.147303031337287</v>
      </c>
      <c r="M97">
        <f t="shared" ca="1" si="91"/>
        <v>89.9396149077008</v>
      </c>
      <c r="N97">
        <f t="shared" ca="1" si="91"/>
        <v>91.486762391972619</v>
      </c>
    </row>
    <row r="98" spans="1:14">
      <c r="A98" t="s">
        <v>109</v>
      </c>
      <c r="B98">
        <f t="shared" si="68"/>
        <v>100</v>
      </c>
      <c r="C98">
        <f t="shared" ref="C98:N98" ca="1" si="92">B98*EXP($B$4+$B$3*SQRT(1)*NORMSINV(RAND()))</f>
        <v>101.72125708366507</v>
      </c>
      <c r="D98">
        <f t="shared" ca="1" si="92"/>
        <v>97.898337189433022</v>
      </c>
      <c r="E98">
        <f t="shared" ca="1" si="92"/>
        <v>98.746017905230048</v>
      </c>
      <c r="F98">
        <f t="shared" ca="1" si="92"/>
        <v>97.190993628959077</v>
      </c>
      <c r="G98">
        <f t="shared" ca="1" si="92"/>
        <v>93.588553980896378</v>
      </c>
      <c r="H98">
        <f t="shared" ca="1" si="92"/>
        <v>95.023202121077901</v>
      </c>
      <c r="I98">
        <f t="shared" ca="1" si="92"/>
        <v>93.796184986629157</v>
      </c>
      <c r="J98">
        <f t="shared" ca="1" si="92"/>
        <v>92.938081349056901</v>
      </c>
      <c r="K98">
        <f t="shared" ca="1" si="92"/>
        <v>94.096080561626522</v>
      </c>
      <c r="L98">
        <f t="shared" ca="1" si="92"/>
        <v>90.393451295614781</v>
      </c>
      <c r="M98">
        <f t="shared" ca="1" si="92"/>
        <v>90.654403126637121</v>
      </c>
      <c r="N98">
        <f t="shared" ca="1" si="92"/>
        <v>90.711691027209767</v>
      </c>
    </row>
    <row r="99" spans="1:14">
      <c r="A99" t="s">
        <v>110</v>
      </c>
      <c r="B99">
        <f t="shared" si="68"/>
        <v>100</v>
      </c>
      <c r="C99">
        <f t="shared" ref="C99:N99" ca="1" si="93">B99*EXP($B$4+$B$3*SQRT(1)*NORMSINV(RAND()))</f>
        <v>100.11459774113203</v>
      </c>
      <c r="D99">
        <f t="shared" ca="1" si="93"/>
        <v>97.452612615864282</v>
      </c>
      <c r="E99">
        <f t="shared" ca="1" si="93"/>
        <v>94.049216258977438</v>
      </c>
      <c r="F99">
        <f t="shared" ca="1" si="93"/>
        <v>92.511810518778219</v>
      </c>
      <c r="G99">
        <f t="shared" ca="1" si="93"/>
        <v>93.052367147278773</v>
      </c>
      <c r="H99">
        <f t="shared" ca="1" si="93"/>
        <v>91.806783356849493</v>
      </c>
      <c r="I99">
        <f t="shared" ca="1" si="93"/>
        <v>91.709525362248897</v>
      </c>
      <c r="J99">
        <f t="shared" ca="1" si="93"/>
        <v>92.440891169199134</v>
      </c>
      <c r="K99">
        <f t="shared" ca="1" si="93"/>
        <v>91.635094963694698</v>
      </c>
      <c r="L99">
        <f t="shared" ca="1" si="93"/>
        <v>92.934757224263379</v>
      </c>
      <c r="M99">
        <f t="shared" ca="1" si="93"/>
        <v>96.297892332461757</v>
      </c>
      <c r="N99">
        <f t="shared" ca="1" si="93"/>
        <v>90.842417785073309</v>
      </c>
    </row>
    <row r="100" spans="1:14">
      <c r="A100" t="s">
        <v>111</v>
      </c>
      <c r="B100">
        <f t="shared" si="68"/>
        <v>100</v>
      </c>
      <c r="C100">
        <f t="shared" ref="C100:N100" ca="1" si="94">B100*EXP($B$4+$B$3*SQRT(1)*NORMSINV(RAND()))</f>
        <v>101.03399244354252</v>
      </c>
      <c r="D100">
        <f t="shared" ca="1" si="94"/>
        <v>100.92011804504644</v>
      </c>
      <c r="E100">
        <f t="shared" ca="1" si="94"/>
        <v>100.01246280334178</v>
      </c>
      <c r="F100">
        <f t="shared" ca="1" si="94"/>
        <v>101.59582132052132</v>
      </c>
      <c r="G100">
        <f t="shared" ca="1" si="94"/>
        <v>98.507401920613262</v>
      </c>
      <c r="H100">
        <f t="shared" ca="1" si="94"/>
        <v>99.037970951422963</v>
      </c>
      <c r="I100">
        <f t="shared" ca="1" si="94"/>
        <v>95.795941855353192</v>
      </c>
      <c r="J100">
        <f t="shared" ca="1" si="94"/>
        <v>94.380196428382874</v>
      </c>
      <c r="K100">
        <f t="shared" ca="1" si="94"/>
        <v>95.570929833297555</v>
      </c>
      <c r="L100">
        <f t="shared" ca="1" si="94"/>
        <v>97.592950563435821</v>
      </c>
      <c r="M100">
        <f t="shared" ca="1" si="94"/>
        <v>98.211156689135862</v>
      </c>
      <c r="N100">
        <f t="shared" ca="1" si="94"/>
        <v>96.989388732891371</v>
      </c>
    </row>
    <row r="101" spans="1:14">
      <c r="A101" t="s">
        <v>112</v>
      </c>
      <c r="B101">
        <f t="shared" si="68"/>
        <v>100</v>
      </c>
      <c r="C101">
        <f t="shared" ref="C101:N101" ca="1" si="95">B101*EXP($B$4+$B$3*SQRT(1)*NORMSINV(RAND()))</f>
        <v>101.64623444235932</v>
      </c>
      <c r="D101">
        <f t="shared" ca="1" si="95"/>
        <v>101.29673479429293</v>
      </c>
      <c r="E101">
        <f t="shared" ca="1" si="95"/>
        <v>103.81127714404408</v>
      </c>
      <c r="F101">
        <f t="shared" ca="1" si="95"/>
        <v>103.41546040216897</v>
      </c>
      <c r="G101">
        <f t="shared" ca="1" si="95"/>
        <v>103.94575316000071</v>
      </c>
      <c r="H101">
        <f t="shared" ca="1" si="95"/>
        <v>106.71232161711964</v>
      </c>
      <c r="I101">
        <f t="shared" ca="1" si="95"/>
        <v>110.97587424923137</v>
      </c>
      <c r="J101">
        <f t="shared" ca="1" si="95"/>
        <v>104.84259610559259</v>
      </c>
      <c r="K101">
        <f t="shared" ca="1" si="95"/>
        <v>108.55098641111114</v>
      </c>
      <c r="L101">
        <f t="shared" ca="1" si="95"/>
        <v>105.41625948756355</v>
      </c>
      <c r="M101">
        <f t="shared" ca="1" si="95"/>
        <v>107.3045289731007</v>
      </c>
      <c r="N101">
        <f t="shared" ca="1" si="95"/>
        <v>115.09892107724249</v>
      </c>
    </row>
    <row r="102" spans="1:14">
      <c r="A102" t="s">
        <v>113</v>
      </c>
      <c r="B102">
        <f t="shared" si="68"/>
        <v>100</v>
      </c>
      <c r="C102">
        <f t="shared" ref="C102:N102" ca="1" si="96">B102*EXP($B$4+$B$3*SQRT(1)*NORMSINV(RAND()))</f>
        <v>102.86227932109678</v>
      </c>
      <c r="D102">
        <f t="shared" ca="1" si="96"/>
        <v>108.50945597598508</v>
      </c>
      <c r="E102">
        <f t="shared" ca="1" si="96"/>
        <v>106.62189738148797</v>
      </c>
      <c r="F102">
        <f t="shared" ca="1" si="96"/>
        <v>109.34689105659537</v>
      </c>
      <c r="G102">
        <f t="shared" ca="1" si="96"/>
        <v>106.58970264094816</v>
      </c>
      <c r="H102">
        <f t="shared" ca="1" si="96"/>
        <v>108.29271770070554</v>
      </c>
      <c r="I102">
        <f t="shared" ca="1" si="96"/>
        <v>105.32293549274183</v>
      </c>
      <c r="J102">
        <f t="shared" ca="1" si="96"/>
        <v>103.76232573333984</v>
      </c>
      <c r="K102">
        <f t="shared" ca="1" si="96"/>
        <v>103.52695526548378</v>
      </c>
      <c r="L102">
        <f t="shared" ca="1" si="96"/>
        <v>101.87240627963087</v>
      </c>
      <c r="M102">
        <f t="shared" ca="1" si="96"/>
        <v>102.95307026273314</v>
      </c>
      <c r="N102">
        <f t="shared" ca="1" si="96"/>
        <v>105.92375614596794</v>
      </c>
    </row>
    <row r="103" spans="1:14">
      <c r="A103" t="s">
        <v>114</v>
      </c>
      <c r="B103">
        <f t="shared" si="68"/>
        <v>100</v>
      </c>
      <c r="C103">
        <f t="shared" ref="C103:N103" ca="1" si="97">B103*EXP($B$4+$B$3*SQRT(1)*NORMSINV(RAND()))</f>
        <v>102.69408984768167</v>
      </c>
      <c r="D103">
        <f t="shared" ca="1" si="97"/>
        <v>105.56028701920617</v>
      </c>
      <c r="E103">
        <f t="shared" ca="1" si="97"/>
        <v>102.56965710151067</v>
      </c>
      <c r="F103">
        <f t="shared" ca="1" si="97"/>
        <v>105.83727139651513</v>
      </c>
      <c r="G103">
        <f t="shared" ca="1" si="97"/>
        <v>108.37442848273838</v>
      </c>
      <c r="H103">
        <f t="shared" ca="1" si="97"/>
        <v>107.36666747476765</v>
      </c>
      <c r="I103">
        <f t="shared" ca="1" si="97"/>
        <v>104.77717005525372</v>
      </c>
      <c r="J103">
        <f t="shared" ca="1" si="97"/>
        <v>103.94673764880254</v>
      </c>
      <c r="K103">
        <f t="shared" ca="1" si="97"/>
        <v>103.03904084955666</v>
      </c>
      <c r="L103">
        <f t="shared" ca="1" si="97"/>
        <v>106.96534439877716</v>
      </c>
      <c r="M103">
        <f t="shared" ca="1" si="97"/>
        <v>101.94840049253283</v>
      </c>
      <c r="N103">
        <f t="shared" ca="1" si="97"/>
        <v>102.61076570045276</v>
      </c>
    </row>
    <row r="104" spans="1:14">
      <c r="A104" t="s">
        <v>115</v>
      </c>
      <c r="B104">
        <f t="shared" si="68"/>
        <v>100</v>
      </c>
      <c r="C104">
        <f t="shared" ref="C104:N104" ca="1" si="98">B104*EXP($B$4+$B$3*SQRT(1)*NORMSINV(RAND()))</f>
        <v>103.52165235936997</v>
      </c>
      <c r="D104">
        <f t="shared" ca="1" si="98"/>
        <v>105.86394872413412</v>
      </c>
      <c r="E104">
        <f t="shared" ca="1" si="98"/>
        <v>102.69717425485939</v>
      </c>
      <c r="F104">
        <f t="shared" ca="1" si="98"/>
        <v>108.14043095957155</v>
      </c>
      <c r="G104">
        <f t="shared" ca="1" si="98"/>
        <v>110.42752951800195</v>
      </c>
      <c r="H104">
        <f t="shared" ca="1" si="98"/>
        <v>113.02688922323171</v>
      </c>
      <c r="I104">
        <f t="shared" ca="1" si="98"/>
        <v>112.82055365707109</v>
      </c>
      <c r="J104">
        <f t="shared" ca="1" si="98"/>
        <v>114.88435340744158</v>
      </c>
      <c r="K104">
        <f t="shared" ca="1" si="98"/>
        <v>113.584491264962</v>
      </c>
      <c r="L104">
        <f t="shared" ca="1" si="98"/>
        <v>116.53272376689169</v>
      </c>
      <c r="M104">
        <f t="shared" ca="1" si="98"/>
        <v>108.02288157166954</v>
      </c>
      <c r="N104">
        <f t="shared" ca="1" si="98"/>
        <v>105.41893552462427</v>
      </c>
    </row>
    <row r="105" spans="1:14">
      <c r="A105" t="s">
        <v>116</v>
      </c>
      <c r="B105">
        <f t="shared" si="68"/>
        <v>100</v>
      </c>
      <c r="C105">
        <f t="shared" ref="C105:N105" ca="1" si="99">B105*EXP($B$4+$B$3*SQRT(1)*NORMSINV(RAND()))</f>
        <v>94.071155562784185</v>
      </c>
      <c r="D105">
        <f t="shared" ca="1" si="99"/>
        <v>91.939774204263585</v>
      </c>
      <c r="E105">
        <f t="shared" ca="1" si="99"/>
        <v>92.235594022601035</v>
      </c>
      <c r="F105">
        <f t="shared" ca="1" si="99"/>
        <v>90.66846202600459</v>
      </c>
      <c r="G105">
        <f t="shared" ca="1" si="99"/>
        <v>85.336775733312081</v>
      </c>
      <c r="H105">
        <f t="shared" ca="1" si="99"/>
        <v>83.274815821868216</v>
      </c>
      <c r="I105">
        <f t="shared" ca="1" si="99"/>
        <v>80.351280378143784</v>
      </c>
      <c r="J105">
        <f t="shared" ca="1" si="99"/>
        <v>75.010248751668527</v>
      </c>
      <c r="K105">
        <f t="shared" ca="1" si="99"/>
        <v>73.600266064357726</v>
      </c>
      <c r="L105">
        <f t="shared" ca="1" si="99"/>
        <v>76.188013884530292</v>
      </c>
      <c r="M105">
        <f t="shared" ca="1" si="99"/>
        <v>73.346419095112992</v>
      </c>
      <c r="N105">
        <f t="shared" ca="1" si="99"/>
        <v>70.641033197242294</v>
      </c>
    </row>
    <row r="106" spans="1:14">
      <c r="A106" t="s">
        <v>117</v>
      </c>
      <c r="B106">
        <f t="shared" si="68"/>
        <v>100</v>
      </c>
      <c r="C106">
        <f t="shared" ref="C106:N106" ca="1" si="100">B106*EXP($B$4+$B$3*SQRT(1)*NORMSINV(RAND()))</f>
        <v>99.746016179309677</v>
      </c>
      <c r="D106">
        <f t="shared" ca="1" si="100"/>
        <v>97.437637349633462</v>
      </c>
      <c r="E106">
        <f t="shared" ca="1" si="100"/>
        <v>97.409634076761321</v>
      </c>
      <c r="F106">
        <f t="shared" ca="1" si="100"/>
        <v>102.02920240885921</v>
      </c>
      <c r="G106">
        <f t="shared" ca="1" si="100"/>
        <v>100.48953824993882</v>
      </c>
      <c r="H106">
        <f t="shared" ca="1" si="100"/>
        <v>101.60918276235212</v>
      </c>
      <c r="I106">
        <f t="shared" ca="1" si="100"/>
        <v>97.734437668875017</v>
      </c>
      <c r="J106">
        <f t="shared" ca="1" si="100"/>
        <v>96.711976315485884</v>
      </c>
      <c r="K106">
        <f t="shared" ca="1" si="100"/>
        <v>94.098753784580396</v>
      </c>
      <c r="L106">
        <f t="shared" ca="1" si="100"/>
        <v>95.267234360986095</v>
      </c>
      <c r="M106">
        <f t="shared" ca="1" si="100"/>
        <v>95.206043369086416</v>
      </c>
      <c r="N106">
        <f t="shared" ca="1" si="100"/>
        <v>94.939471459512589</v>
      </c>
    </row>
    <row r="107" spans="1:14">
      <c r="A107" t="s">
        <v>118</v>
      </c>
      <c r="B107">
        <f t="shared" si="68"/>
        <v>100</v>
      </c>
      <c r="C107">
        <f t="shared" ref="C107:N107" ca="1" si="101">B107*EXP($B$4+$B$3*SQRT(1)*NORMSINV(RAND()))</f>
        <v>103.89248519391508</v>
      </c>
      <c r="D107">
        <f t="shared" ca="1" si="101"/>
        <v>100.00454405715953</v>
      </c>
      <c r="E107">
        <f t="shared" ca="1" si="101"/>
        <v>100.87803179916595</v>
      </c>
      <c r="F107">
        <f t="shared" ca="1" si="101"/>
        <v>103.41929793419264</v>
      </c>
      <c r="G107">
        <f t="shared" ca="1" si="101"/>
        <v>105.52853605100896</v>
      </c>
      <c r="H107">
        <f t="shared" ca="1" si="101"/>
        <v>99.655576141516306</v>
      </c>
      <c r="I107">
        <f t="shared" ca="1" si="101"/>
        <v>95.687888505159748</v>
      </c>
      <c r="J107">
        <f t="shared" ca="1" si="101"/>
        <v>94.549405003873773</v>
      </c>
      <c r="K107">
        <f t="shared" ca="1" si="101"/>
        <v>94.727880881202751</v>
      </c>
      <c r="L107">
        <f t="shared" ca="1" si="101"/>
        <v>98.618334331183718</v>
      </c>
      <c r="M107">
        <f t="shared" ca="1" si="101"/>
        <v>94.074619245003561</v>
      </c>
      <c r="N107">
        <f t="shared" ca="1" si="101"/>
        <v>92.563059439057881</v>
      </c>
    </row>
    <row r="108" spans="1:14">
      <c r="A108" t="s">
        <v>119</v>
      </c>
      <c r="B108">
        <f t="shared" si="68"/>
        <v>100</v>
      </c>
      <c r="C108">
        <f t="shared" ref="C108:N108" ca="1" si="102">B108*EXP($B$4+$B$3*SQRT(1)*NORMSINV(RAND()))</f>
        <v>98.612320617060064</v>
      </c>
      <c r="D108">
        <f t="shared" ca="1" si="102"/>
        <v>99.165959803657387</v>
      </c>
      <c r="E108">
        <f t="shared" ca="1" si="102"/>
        <v>105.42144702161393</v>
      </c>
      <c r="F108">
        <f t="shared" ca="1" si="102"/>
        <v>108.96145836036939</v>
      </c>
      <c r="G108">
        <f t="shared" ca="1" si="102"/>
        <v>110.02934827842536</v>
      </c>
      <c r="H108">
        <f t="shared" ca="1" si="102"/>
        <v>108.97095153218362</v>
      </c>
      <c r="I108">
        <f t="shared" ca="1" si="102"/>
        <v>114.43345914701916</v>
      </c>
      <c r="J108">
        <f t="shared" ca="1" si="102"/>
        <v>111.48756101794254</v>
      </c>
      <c r="K108">
        <f t="shared" ca="1" si="102"/>
        <v>114.94509152830334</v>
      </c>
      <c r="L108">
        <f t="shared" ca="1" si="102"/>
        <v>117.08192608911709</v>
      </c>
      <c r="M108">
        <f t="shared" ca="1" si="102"/>
        <v>114.08206265045511</v>
      </c>
      <c r="N108">
        <f t="shared" ca="1" si="102"/>
        <v>118.25493279153142</v>
      </c>
    </row>
    <row r="110" spans="1:14">
      <c r="A110" t="s">
        <v>120</v>
      </c>
      <c r="C110">
        <f ca="1">B108-PERCENTILE(C$9:C$108,1%)</f>
        <v>6.2885560770225766</v>
      </c>
      <c r="D110">
        <f t="shared" ref="D110:N110" ca="1" si="103">C108-PERCENTILE(D$9:D$108,1%)</f>
        <v>6.67296992178305</v>
      </c>
      <c r="E110">
        <f t="shared" ca="1" si="103"/>
        <v>8.4153516383100992</v>
      </c>
      <c r="F110">
        <f t="shared" ca="1" si="103"/>
        <v>16.313391150369924</v>
      </c>
      <c r="G110">
        <f t="shared" ca="1" si="103"/>
        <v>22.826010094667936</v>
      </c>
      <c r="H110">
        <f t="shared" ca="1" si="103"/>
        <v>25.969452112497905</v>
      </c>
      <c r="I110">
        <f t="shared" ca="1" si="103"/>
        <v>25.622659014974374</v>
      </c>
      <c r="J110">
        <f t="shared" ca="1" si="103"/>
        <v>32.108018910411204</v>
      </c>
      <c r="K110">
        <f t="shared" ca="1" si="103"/>
        <v>33.388257062130009</v>
      </c>
      <c r="L110">
        <f t="shared" ca="1" si="103"/>
        <v>35.845498439172346</v>
      </c>
      <c r="M110">
        <f t="shared" ca="1" si="103"/>
        <v>35.848808671111826</v>
      </c>
      <c r="N110">
        <f t="shared" ca="1" si="103"/>
        <v>33.50825292819647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214"/>
  <sheetViews>
    <sheetView tabSelected="1" workbookViewId="0">
      <selection activeCell="C116" sqref="C116"/>
    </sheetView>
  </sheetViews>
  <sheetFormatPr defaultRowHeight="15"/>
  <cols>
    <col min="1" max="1" width="19.28515625" bestFit="1" customWidth="1"/>
    <col min="2" max="2" width="11.42578125" bestFit="1" customWidth="1"/>
    <col min="3" max="14" width="9.140625" customWidth="1"/>
  </cols>
  <sheetData>
    <row r="1" spans="1:14">
      <c r="A1" s="5" t="s">
        <v>14</v>
      </c>
      <c r="B1" s="5"/>
    </row>
    <row r="2" spans="1:14">
      <c r="A2" t="s">
        <v>222</v>
      </c>
      <c r="B2" s="1">
        <v>0.02</v>
      </c>
    </row>
    <row r="3" spans="1:14">
      <c r="A3" t="s">
        <v>223</v>
      </c>
      <c r="B3" s="1">
        <v>5.0000000000000001E-4</v>
      </c>
    </row>
    <row r="4" spans="1:14">
      <c r="A4" t="s">
        <v>16</v>
      </c>
      <c r="B4" s="2">
        <v>0.03</v>
      </c>
    </row>
    <row r="5" spans="1:14">
      <c r="A5" t="s">
        <v>224</v>
      </c>
      <c r="B5" s="6">
        <v>100</v>
      </c>
    </row>
    <row r="6" spans="1:14">
      <c r="A6" t="s">
        <v>225</v>
      </c>
      <c r="B6" s="6">
        <v>2</v>
      </c>
    </row>
    <row r="7" spans="1:14">
      <c r="A7" t="s">
        <v>226</v>
      </c>
      <c r="B7" s="7">
        <v>2.52E-2</v>
      </c>
    </row>
    <row r="8" spans="1:14" hidden="1"/>
    <row r="9" spans="1:14" hidden="1">
      <c r="A9" s="4" t="s">
        <v>19</v>
      </c>
      <c r="B9" s="4">
        <v>0</v>
      </c>
      <c r="C9" s="4">
        <v>1</v>
      </c>
      <c r="D9" s="4">
        <v>2</v>
      </c>
      <c r="E9" s="4">
        <v>3</v>
      </c>
      <c r="F9" s="4">
        <v>4</v>
      </c>
      <c r="G9" s="4">
        <v>5</v>
      </c>
      <c r="H9" s="4">
        <v>6</v>
      </c>
      <c r="I9" s="4">
        <v>7</v>
      </c>
      <c r="J9" s="4">
        <v>8</v>
      </c>
      <c r="K9" s="4">
        <v>9</v>
      </c>
      <c r="L9" s="4">
        <v>10</v>
      </c>
      <c r="M9" s="4">
        <v>11</v>
      </c>
      <c r="N9" s="4">
        <v>12</v>
      </c>
    </row>
    <row r="10" spans="1:14" hidden="1">
      <c r="A10" t="s">
        <v>121</v>
      </c>
      <c r="B10">
        <v>100</v>
      </c>
    </row>
    <row r="11" spans="1:14" hidden="1">
      <c r="A11" t="s">
        <v>17</v>
      </c>
      <c r="C11" s="6">
        <f ca="1">NORMSINV(RAND())</f>
        <v>7.5643756461684114E-2</v>
      </c>
      <c r="D11" s="6">
        <f t="shared" ref="D11:N11" ca="1" si="0">NORMSINV(RAND())</f>
        <v>0.10452592228489849</v>
      </c>
      <c r="E11" s="6">
        <f t="shared" ca="1" si="0"/>
        <v>1.3115577644116008</v>
      </c>
      <c r="F11" s="6">
        <f t="shared" ca="1" si="0"/>
        <v>-0.90521920658533217</v>
      </c>
      <c r="G11" s="6">
        <f t="shared" ca="1" si="0"/>
        <v>1.3384409956433769</v>
      </c>
      <c r="H11" s="6">
        <f t="shared" ca="1" si="0"/>
        <v>-1.7990580955483835</v>
      </c>
      <c r="I11" s="6">
        <f t="shared" ca="1" si="0"/>
        <v>-0.82580375792243932</v>
      </c>
      <c r="J11" s="6">
        <f t="shared" ca="1" si="0"/>
        <v>0.63157869726004412</v>
      </c>
      <c r="K11" s="6">
        <f t="shared" ca="1" si="0"/>
        <v>-0.23950405178928769</v>
      </c>
      <c r="L11" s="6">
        <f t="shared" ca="1" si="0"/>
        <v>-0.93182467094443622</v>
      </c>
      <c r="M11" s="6">
        <f t="shared" ca="1" si="0"/>
        <v>-0.19696234179426525</v>
      </c>
      <c r="N11" s="6">
        <f t="shared" ca="1" si="0"/>
        <v>-0.73661154349329472</v>
      </c>
    </row>
    <row r="12" spans="1:14" hidden="1">
      <c r="A12" t="s">
        <v>122</v>
      </c>
      <c r="B12">
        <f>B10</f>
        <v>100</v>
      </c>
      <c r="C12" s="6">
        <f ca="1">$B12+$B12*$B$6*$B$7*EXP($B$3*($B$2-$B$7)*C$9+$B$4*NORMSINV(RAND())*SQRT(C$9))</f>
        <v>104.71303200499528</v>
      </c>
      <c r="D12" s="6">
        <f ca="1">$B12+$B12*$B$6*$B$7*EXP($B$3*($B$2-$B$7)+$B$4*NORMSINV(RAND()))</f>
        <v>105.12557056515607</v>
      </c>
      <c r="E12" s="6">
        <f t="shared" ref="D12:N27" ca="1" si="1">$B12+$B12*$B$6*$B$7*EXP($B$3*($B$2-$B$7)*E$9+$B$4*NORMSINV(RAND())*SQRT(E$9))</f>
        <v>105.29002597908989</v>
      </c>
      <c r="F12" s="6">
        <f t="shared" ca="1" si="1"/>
        <v>104.91856074398414</v>
      </c>
      <c r="G12" s="6">
        <f t="shared" ca="1" si="1"/>
        <v>105.2717626747426</v>
      </c>
      <c r="H12" s="6">
        <f t="shared" ca="1" si="1"/>
        <v>104.98007428833355</v>
      </c>
      <c r="I12" s="6">
        <f t="shared" ca="1" si="1"/>
        <v>104.17975852962276</v>
      </c>
      <c r="J12" s="6">
        <f t="shared" ca="1" si="1"/>
        <v>105.59447909343504</v>
      </c>
      <c r="K12" s="6">
        <f t="shared" ca="1" si="1"/>
        <v>106.05265677582213</v>
      </c>
      <c r="L12" s="6">
        <f t="shared" ca="1" si="1"/>
        <v>104.44044700796361</v>
      </c>
      <c r="M12" s="6">
        <f t="shared" ca="1" si="1"/>
        <v>104.56399144115954</v>
      </c>
      <c r="N12" s="6">
        <f t="shared" ca="1" si="1"/>
        <v>104.55098983220269</v>
      </c>
    </row>
    <row r="13" spans="1:14" hidden="1">
      <c r="A13" t="s">
        <v>123</v>
      </c>
      <c r="B13">
        <f>$B$10</f>
        <v>100</v>
      </c>
      <c r="C13" s="6">
        <f t="shared" ref="C13:N44" ca="1" si="2">$B13+$B13*$B$6*$B$7*EXP($B$3*($B$2-$B$7)*C$9+$B$4*NORMSINV(RAND())*SQRT(C$9))</f>
        <v>104.92322070760549</v>
      </c>
      <c r="D13" s="6">
        <f t="shared" ca="1" si="1"/>
        <v>105.38383855577507</v>
      </c>
      <c r="E13" s="6">
        <f t="shared" ca="1" si="1"/>
        <v>105.35398386192084</v>
      </c>
      <c r="F13" s="6">
        <f t="shared" ca="1" si="1"/>
        <v>104.92562941577778</v>
      </c>
      <c r="G13" s="6">
        <f t="shared" ca="1" si="1"/>
        <v>105.05400634859551</v>
      </c>
      <c r="H13" s="6">
        <f t="shared" ca="1" si="1"/>
        <v>105.14796121272865</v>
      </c>
      <c r="I13" s="6">
        <f t="shared" ca="1" si="1"/>
        <v>104.78907037840629</v>
      </c>
      <c r="J13" s="6">
        <f t="shared" ca="1" si="1"/>
        <v>104.79983743997353</v>
      </c>
      <c r="K13" s="6">
        <f t="shared" ca="1" si="1"/>
        <v>104.9082680012054</v>
      </c>
      <c r="L13" s="6">
        <f t="shared" ca="1" si="1"/>
        <v>104.67211247430676</v>
      </c>
      <c r="M13" s="6">
        <f t="shared" ca="1" si="1"/>
        <v>104.75731048144638</v>
      </c>
      <c r="N13" s="6">
        <f t="shared" ca="1" si="1"/>
        <v>106.31253358561365</v>
      </c>
    </row>
    <row r="14" spans="1:14" hidden="1">
      <c r="A14" t="s">
        <v>124</v>
      </c>
      <c r="B14">
        <f t="shared" ref="B14:B77" si="3">$B$10</f>
        <v>100</v>
      </c>
      <c r="C14" s="6">
        <f t="shared" ca="1" si="2"/>
        <v>104.76125923794973</v>
      </c>
      <c r="D14" s="6">
        <f t="shared" ca="1" si="1"/>
        <v>105.02507668645178</v>
      </c>
      <c r="E14" s="6">
        <f t="shared" ca="1" si="1"/>
        <v>104.91770718953406</v>
      </c>
      <c r="F14" s="6">
        <f t="shared" ca="1" si="1"/>
        <v>104.87087471849161</v>
      </c>
      <c r="G14" s="6">
        <f t="shared" ca="1" si="1"/>
        <v>105.25281826224045</v>
      </c>
      <c r="H14" s="6">
        <f t="shared" ca="1" si="1"/>
        <v>104.845758922877</v>
      </c>
      <c r="I14" s="6">
        <f t="shared" ca="1" si="1"/>
        <v>105.67382788344797</v>
      </c>
      <c r="J14" s="6">
        <f t="shared" ca="1" si="1"/>
        <v>104.45444463597219</v>
      </c>
      <c r="K14" s="6">
        <f t="shared" ca="1" si="1"/>
        <v>105.33787688028002</v>
      </c>
      <c r="L14" s="6">
        <f t="shared" ca="1" si="1"/>
        <v>105.25041052960738</v>
      </c>
      <c r="M14" s="6">
        <f t="shared" ca="1" si="1"/>
        <v>104.8903414025565</v>
      </c>
      <c r="N14" s="6">
        <f t="shared" ca="1" si="1"/>
        <v>104.96701459933064</v>
      </c>
    </row>
    <row r="15" spans="1:14" hidden="1">
      <c r="A15" t="s">
        <v>125</v>
      </c>
      <c r="B15">
        <f t="shared" si="3"/>
        <v>100</v>
      </c>
      <c r="C15" s="6">
        <f t="shared" ca="1" si="2"/>
        <v>105.03029340525541</v>
      </c>
      <c r="D15" s="6">
        <f t="shared" ca="1" si="1"/>
        <v>104.80971891012801</v>
      </c>
      <c r="E15" s="6">
        <f t="shared" ca="1" si="1"/>
        <v>105.04445604123292</v>
      </c>
      <c r="F15" s="6">
        <f t="shared" ca="1" si="1"/>
        <v>104.93448111333024</v>
      </c>
      <c r="G15" s="6">
        <f t="shared" ca="1" si="1"/>
        <v>104.88281030332557</v>
      </c>
      <c r="H15" s="6">
        <f t="shared" ca="1" si="1"/>
        <v>104.83687304454151</v>
      </c>
      <c r="I15" s="6">
        <f t="shared" ca="1" si="1"/>
        <v>103.96905566354816</v>
      </c>
      <c r="J15" s="6">
        <f t="shared" ca="1" si="1"/>
        <v>105.58170211269683</v>
      </c>
      <c r="K15" s="6">
        <f t="shared" ca="1" si="1"/>
        <v>104.3519861791537</v>
      </c>
      <c r="L15" s="6">
        <f t="shared" ca="1" si="1"/>
        <v>104.73461361015994</v>
      </c>
      <c r="M15" s="6">
        <f t="shared" ca="1" si="1"/>
        <v>105.22545962525336</v>
      </c>
      <c r="N15" s="6">
        <f t="shared" ca="1" si="1"/>
        <v>105.2413052617285</v>
      </c>
    </row>
    <row r="16" spans="1:14" hidden="1">
      <c r="A16" t="s">
        <v>126</v>
      </c>
      <c r="B16">
        <f t="shared" si="3"/>
        <v>100</v>
      </c>
      <c r="C16" s="6">
        <f t="shared" ca="1" si="2"/>
        <v>104.87561033491912</v>
      </c>
      <c r="D16" s="6">
        <f t="shared" ca="1" si="1"/>
        <v>105.20772144971048</v>
      </c>
      <c r="E16" s="6">
        <f t="shared" ca="1" si="1"/>
        <v>105.22203448575924</v>
      </c>
      <c r="F16" s="6">
        <f t="shared" ca="1" si="1"/>
        <v>105.42914385495497</v>
      </c>
      <c r="G16" s="6">
        <f t="shared" ca="1" si="1"/>
        <v>105.1035786741074</v>
      </c>
      <c r="H16" s="6">
        <f t="shared" ca="1" si="1"/>
        <v>105.29284368756335</v>
      </c>
      <c r="I16" s="6">
        <f t="shared" ca="1" si="1"/>
        <v>105.92857358224956</v>
      </c>
      <c r="J16" s="6">
        <f t="shared" ca="1" si="1"/>
        <v>105.13875012636758</v>
      </c>
      <c r="K16" s="6">
        <f t="shared" ca="1" si="1"/>
        <v>104.54922107838847</v>
      </c>
      <c r="L16" s="6">
        <f t="shared" ca="1" si="1"/>
        <v>105.3437074930786</v>
      </c>
      <c r="M16" s="6">
        <f t="shared" ca="1" si="1"/>
        <v>104.96774560937962</v>
      </c>
      <c r="N16" s="6">
        <f t="shared" ca="1" si="1"/>
        <v>105.47729134622595</v>
      </c>
    </row>
    <row r="17" spans="1:14" hidden="1">
      <c r="A17" t="s">
        <v>127</v>
      </c>
      <c r="B17">
        <f t="shared" si="3"/>
        <v>100</v>
      </c>
      <c r="C17" s="6">
        <f t="shared" ca="1" si="2"/>
        <v>104.94655766601211</v>
      </c>
      <c r="D17" s="6">
        <f t="shared" ca="1" si="1"/>
        <v>104.65307273795547</v>
      </c>
      <c r="E17" s="6">
        <f t="shared" ca="1" si="1"/>
        <v>105.04686591824745</v>
      </c>
      <c r="F17" s="6">
        <f t="shared" ca="1" si="1"/>
        <v>105.62359182581396</v>
      </c>
      <c r="G17" s="6">
        <f t="shared" ca="1" si="1"/>
        <v>105.02405272595053</v>
      </c>
      <c r="H17" s="6">
        <f t="shared" ca="1" si="1"/>
        <v>105.09699027621073</v>
      </c>
      <c r="I17" s="6">
        <f t="shared" ca="1" si="1"/>
        <v>105.10514841975764</v>
      </c>
      <c r="J17" s="6">
        <f t="shared" ca="1" si="1"/>
        <v>104.93926457615507</v>
      </c>
      <c r="K17" s="6">
        <f t="shared" ca="1" si="1"/>
        <v>104.6799296901909</v>
      </c>
      <c r="L17" s="6">
        <f t="shared" ca="1" si="1"/>
        <v>104.77750545766195</v>
      </c>
      <c r="M17" s="6">
        <f t="shared" ca="1" si="1"/>
        <v>104.46880901240085</v>
      </c>
      <c r="N17" s="6">
        <f t="shared" ca="1" si="1"/>
        <v>106.3859095624632</v>
      </c>
    </row>
    <row r="18" spans="1:14" hidden="1">
      <c r="A18" t="s">
        <v>128</v>
      </c>
      <c r="B18">
        <f t="shared" si="3"/>
        <v>100</v>
      </c>
      <c r="C18" s="6">
        <f t="shared" ca="1" si="2"/>
        <v>105.12774068654252</v>
      </c>
      <c r="D18" s="6">
        <f t="shared" ca="1" si="1"/>
        <v>105.31166418591039</v>
      </c>
      <c r="E18" s="6">
        <f t="shared" ca="1" si="1"/>
        <v>104.96848571076085</v>
      </c>
      <c r="F18" s="6">
        <f t="shared" ca="1" si="1"/>
        <v>104.68443887916109</v>
      </c>
      <c r="G18" s="6">
        <f t="shared" ca="1" si="1"/>
        <v>105.45233940662598</v>
      </c>
      <c r="H18" s="6">
        <f t="shared" ca="1" si="1"/>
        <v>105.61331024321406</v>
      </c>
      <c r="I18" s="6">
        <f t="shared" ca="1" si="1"/>
        <v>104.67345214932865</v>
      </c>
      <c r="J18" s="6">
        <f t="shared" ca="1" si="1"/>
        <v>105.28182782659081</v>
      </c>
      <c r="K18" s="6">
        <f t="shared" ca="1" si="1"/>
        <v>104.94266560008577</v>
      </c>
      <c r="L18" s="6">
        <f t="shared" ca="1" si="1"/>
        <v>105.60099894883945</v>
      </c>
      <c r="M18" s="6">
        <f t="shared" ca="1" si="1"/>
        <v>104.32054010591956</v>
      </c>
      <c r="N18" s="6">
        <f t="shared" ca="1" si="1"/>
        <v>105.76425327297189</v>
      </c>
    </row>
    <row r="19" spans="1:14" hidden="1">
      <c r="A19" t="s">
        <v>129</v>
      </c>
      <c r="B19">
        <f t="shared" si="3"/>
        <v>100</v>
      </c>
      <c r="C19" s="6">
        <f t="shared" ca="1" si="2"/>
        <v>105.03502376482847</v>
      </c>
      <c r="D19" s="6">
        <f t="shared" ca="1" si="1"/>
        <v>104.85850708539994</v>
      </c>
      <c r="E19" s="6">
        <f t="shared" ca="1" si="1"/>
        <v>104.82211295647512</v>
      </c>
      <c r="F19" s="6">
        <f t="shared" ca="1" si="1"/>
        <v>105.13673315796868</v>
      </c>
      <c r="G19" s="6">
        <f t="shared" ca="1" si="1"/>
        <v>104.89128951506333</v>
      </c>
      <c r="H19" s="6">
        <f t="shared" ca="1" si="1"/>
        <v>105.31319227981827</v>
      </c>
      <c r="I19" s="6">
        <f t="shared" ca="1" si="1"/>
        <v>104.82354294638041</v>
      </c>
      <c r="J19" s="6">
        <f t="shared" ca="1" si="1"/>
        <v>105.60574612910392</v>
      </c>
      <c r="K19" s="6">
        <f t="shared" ca="1" si="1"/>
        <v>105.17611994678497</v>
      </c>
      <c r="L19" s="6">
        <f t="shared" ca="1" si="1"/>
        <v>104.55119888809247</v>
      </c>
      <c r="M19" s="6">
        <f t="shared" ca="1" si="1"/>
        <v>104.59490691103323</v>
      </c>
      <c r="N19" s="6">
        <f t="shared" ca="1" si="1"/>
        <v>105.26056303267714</v>
      </c>
    </row>
    <row r="20" spans="1:14" hidden="1">
      <c r="A20" t="s">
        <v>130</v>
      </c>
      <c r="B20">
        <f t="shared" si="3"/>
        <v>100</v>
      </c>
      <c r="C20" s="6">
        <f t="shared" ca="1" si="2"/>
        <v>104.97355863816357</v>
      </c>
      <c r="D20" s="6">
        <f t="shared" ca="1" si="1"/>
        <v>105.404532467206</v>
      </c>
      <c r="E20" s="6">
        <f t="shared" ca="1" si="1"/>
        <v>104.72838330959907</v>
      </c>
      <c r="F20" s="6">
        <f t="shared" ca="1" si="1"/>
        <v>104.84658220675986</v>
      </c>
      <c r="G20" s="6">
        <f t="shared" ca="1" si="1"/>
        <v>105.16501787650583</v>
      </c>
      <c r="H20" s="6">
        <f t="shared" ca="1" si="1"/>
        <v>104.88153425424669</v>
      </c>
      <c r="I20" s="6">
        <f t="shared" ca="1" si="1"/>
        <v>104.96835263485951</v>
      </c>
      <c r="J20" s="6">
        <f t="shared" ca="1" si="1"/>
        <v>104.62817406717768</v>
      </c>
      <c r="K20" s="6">
        <f t="shared" ca="1" si="1"/>
        <v>104.31288932255143</v>
      </c>
      <c r="L20" s="6">
        <f t="shared" ca="1" si="1"/>
        <v>105.05427501569595</v>
      </c>
      <c r="M20" s="6">
        <f t="shared" ca="1" si="1"/>
        <v>105.78217874270588</v>
      </c>
      <c r="N20" s="6">
        <f t="shared" ca="1" si="1"/>
        <v>104.40804318316827</v>
      </c>
    </row>
    <row r="21" spans="1:14" hidden="1">
      <c r="A21" t="s">
        <v>131</v>
      </c>
      <c r="B21">
        <f t="shared" si="3"/>
        <v>100</v>
      </c>
      <c r="C21" s="6">
        <f t="shared" ca="1" si="2"/>
        <v>105.03492080686596</v>
      </c>
      <c r="D21" s="6">
        <f t="shared" ca="1" si="1"/>
        <v>104.97147039017931</v>
      </c>
      <c r="E21" s="6">
        <f t="shared" ca="1" si="1"/>
        <v>105.2399469260383</v>
      </c>
      <c r="F21" s="6">
        <f t="shared" ca="1" si="1"/>
        <v>105.05358376474896</v>
      </c>
      <c r="G21" s="6">
        <f t="shared" ca="1" si="1"/>
        <v>105.37101150547289</v>
      </c>
      <c r="H21" s="6">
        <f t="shared" ca="1" si="1"/>
        <v>105.19651734422496</v>
      </c>
      <c r="I21" s="6">
        <f t="shared" ca="1" si="1"/>
        <v>104.57579790811316</v>
      </c>
      <c r="J21" s="6">
        <f t="shared" ca="1" si="1"/>
        <v>104.32083735907996</v>
      </c>
      <c r="K21" s="6">
        <f t="shared" ca="1" si="1"/>
        <v>105.29223363811448</v>
      </c>
      <c r="L21" s="6">
        <f t="shared" ca="1" si="1"/>
        <v>104.72681147522377</v>
      </c>
      <c r="M21" s="6">
        <f t="shared" ca="1" si="1"/>
        <v>104.40639440862424</v>
      </c>
      <c r="N21" s="6">
        <f t="shared" ca="1" si="1"/>
        <v>105.36914608064727</v>
      </c>
    </row>
    <row r="22" spans="1:14" hidden="1">
      <c r="A22" t="s">
        <v>132</v>
      </c>
      <c r="B22">
        <f t="shared" si="3"/>
        <v>100</v>
      </c>
      <c r="C22" s="6">
        <f t="shared" ca="1" si="2"/>
        <v>105.0777798664174</v>
      </c>
      <c r="D22" s="6">
        <f t="shared" ca="1" si="1"/>
        <v>105.2504330650579</v>
      </c>
      <c r="E22" s="6">
        <f t="shared" ca="1" si="1"/>
        <v>105.40365674673953</v>
      </c>
      <c r="F22" s="6">
        <f t="shared" ca="1" si="1"/>
        <v>105.21977679106321</v>
      </c>
      <c r="G22" s="6">
        <f t="shared" ca="1" si="1"/>
        <v>105.14840042020538</v>
      </c>
      <c r="H22" s="6">
        <f t="shared" ca="1" si="1"/>
        <v>104.75508119143832</v>
      </c>
      <c r="I22" s="6">
        <f t="shared" ca="1" si="1"/>
        <v>104.59786136759809</v>
      </c>
      <c r="J22" s="6">
        <f t="shared" ca="1" si="1"/>
        <v>105.72598123939784</v>
      </c>
      <c r="K22" s="6">
        <f t="shared" ca="1" si="1"/>
        <v>104.40934674069521</v>
      </c>
      <c r="L22" s="6">
        <f t="shared" ca="1" si="1"/>
        <v>105.37886699787352</v>
      </c>
      <c r="M22" s="6">
        <f t="shared" ca="1" si="1"/>
        <v>104.62335717604238</v>
      </c>
      <c r="N22" s="6">
        <f t="shared" ca="1" si="1"/>
        <v>104.06876528678859</v>
      </c>
    </row>
    <row r="23" spans="1:14" hidden="1">
      <c r="A23" t="s">
        <v>133</v>
      </c>
      <c r="B23">
        <f t="shared" si="3"/>
        <v>100</v>
      </c>
      <c r="C23" s="6">
        <f t="shared" ca="1" si="2"/>
        <v>105.16124471797748</v>
      </c>
      <c r="D23" s="6">
        <f t="shared" ca="1" si="1"/>
        <v>104.84316811716809</v>
      </c>
      <c r="E23" s="6">
        <f t="shared" ca="1" si="1"/>
        <v>105.33504298877173</v>
      </c>
      <c r="F23" s="6">
        <f t="shared" ca="1" si="1"/>
        <v>105.07600963320242</v>
      </c>
      <c r="G23" s="6">
        <f t="shared" ca="1" si="1"/>
        <v>104.5732274457155</v>
      </c>
      <c r="H23" s="6">
        <f t="shared" ca="1" si="1"/>
        <v>104.87005814966642</v>
      </c>
      <c r="I23" s="6">
        <f t="shared" ca="1" si="1"/>
        <v>105.41334294155382</v>
      </c>
      <c r="J23" s="6">
        <f t="shared" ca="1" si="1"/>
        <v>105.1762866197583</v>
      </c>
      <c r="K23" s="6">
        <f t="shared" ca="1" si="1"/>
        <v>105.18211324645335</v>
      </c>
      <c r="L23" s="6">
        <f t="shared" ca="1" si="1"/>
        <v>104.71946158448715</v>
      </c>
      <c r="M23" s="6">
        <f t="shared" ca="1" si="1"/>
        <v>106.07289643017867</v>
      </c>
      <c r="N23" s="6">
        <f t="shared" ca="1" si="1"/>
        <v>104.77254315743593</v>
      </c>
    </row>
    <row r="24" spans="1:14" hidden="1">
      <c r="A24" t="s">
        <v>134</v>
      </c>
      <c r="B24">
        <f t="shared" si="3"/>
        <v>100</v>
      </c>
      <c r="C24" s="6">
        <f t="shared" ca="1" si="2"/>
        <v>105.04419446367795</v>
      </c>
      <c r="D24" s="6">
        <f t="shared" ca="1" si="1"/>
        <v>104.95999578662305</v>
      </c>
      <c r="E24" s="6">
        <f t="shared" ca="1" si="1"/>
        <v>104.83529726752477</v>
      </c>
      <c r="F24" s="6">
        <f t="shared" ca="1" si="1"/>
        <v>105.0503051770892</v>
      </c>
      <c r="G24" s="6">
        <f t="shared" ca="1" si="1"/>
        <v>105.00792282096091</v>
      </c>
      <c r="H24" s="6">
        <f t="shared" ca="1" si="1"/>
        <v>104.93592472795123</v>
      </c>
      <c r="I24" s="6">
        <f t="shared" ca="1" si="1"/>
        <v>105.45975052974403</v>
      </c>
      <c r="J24" s="6">
        <f t="shared" ca="1" si="1"/>
        <v>105.90269276426299</v>
      </c>
      <c r="K24" s="6">
        <f t="shared" ca="1" si="1"/>
        <v>106.03446256281332</v>
      </c>
      <c r="L24" s="6">
        <f t="shared" ca="1" si="1"/>
        <v>105.12107201654625</v>
      </c>
      <c r="M24" s="6">
        <f t="shared" ca="1" si="1"/>
        <v>104.49829877063387</v>
      </c>
      <c r="N24" s="6">
        <f t="shared" ca="1" si="1"/>
        <v>104.95322563385919</v>
      </c>
    </row>
    <row r="25" spans="1:14" hidden="1">
      <c r="A25" t="s">
        <v>135</v>
      </c>
      <c r="B25">
        <f t="shared" si="3"/>
        <v>100</v>
      </c>
      <c r="C25" s="6">
        <f t="shared" ca="1" si="2"/>
        <v>104.88910711027638</v>
      </c>
      <c r="D25" s="6">
        <f t="shared" ca="1" si="1"/>
        <v>104.87428291656164</v>
      </c>
      <c r="E25" s="6">
        <f t="shared" ca="1" si="1"/>
        <v>105.13622607148477</v>
      </c>
      <c r="F25" s="6">
        <f t="shared" ca="1" si="1"/>
        <v>105.34003288325279</v>
      </c>
      <c r="G25" s="6">
        <f t="shared" ca="1" si="1"/>
        <v>105.02634019058156</v>
      </c>
      <c r="H25" s="6">
        <f t="shared" ca="1" si="1"/>
        <v>104.81464002151345</v>
      </c>
      <c r="I25" s="6">
        <f t="shared" ca="1" si="1"/>
        <v>105.20004454757796</v>
      </c>
      <c r="J25" s="6">
        <f t="shared" ca="1" si="1"/>
        <v>104.85338945830888</v>
      </c>
      <c r="K25" s="6">
        <f t="shared" ca="1" si="1"/>
        <v>104.84061419514195</v>
      </c>
      <c r="L25" s="6">
        <f t="shared" ca="1" si="1"/>
        <v>105.96105887971761</v>
      </c>
      <c r="M25" s="6">
        <f t="shared" ca="1" si="1"/>
        <v>104.55362102445072</v>
      </c>
      <c r="N25" s="6">
        <f t="shared" ca="1" si="1"/>
        <v>106.20791747648963</v>
      </c>
    </row>
    <row r="26" spans="1:14" hidden="1">
      <c r="A26" t="s">
        <v>136</v>
      </c>
      <c r="B26">
        <f t="shared" si="3"/>
        <v>100</v>
      </c>
      <c r="C26" s="6">
        <f t="shared" ca="1" si="2"/>
        <v>105.11938868155377</v>
      </c>
      <c r="D26" s="6">
        <f t="shared" ca="1" si="1"/>
        <v>105.00285312373327</v>
      </c>
      <c r="E26" s="6">
        <f t="shared" ca="1" si="1"/>
        <v>104.86685386278054</v>
      </c>
      <c r="F26" s="6">
        <f t="shared" ca="1" si="1"/>
        <v>104.97485944177713</v>
      </c>
      <c r="G26" s="6">
        <f t="shared" ca="1" si="1"/>
        <v>104.68110653120732</v>
      </c>
      <c r="H26" s="6">
        <f t="shared" ca="1" si="1"/>
        <v>104.61010154791941</v>
      </c>
      <c r="I26" s="6">
        <f t="shared" ca="1" si="1"/>
        <v>104.61075868183953</v>
      </c>
      <c r="J26" s="6">
        <f t="shared" ca="1" si="1"/>
        <v>105.03558706506621</v>
      </c>
      <c r="K26" s="6">
        <f t="shared" ca="1" si="1"/>
        <v>105.25081521512912</v>
      </c>
      <c r="L26" s="6">
        <f t="shared" ca="1" si="1"/>
        <v>105.02063411150499</v>
      </c>
      <c r="M26" s="6">
        <f t="shared" ca="1" si="1"/>
        <v>105.20735665335984</v>
      </c>
      <c r="N26" s="6">
        <f t="shared" ca="1" si="1"/>
        <v>106.0690659082876</v>
      </c>
    </row>
    <row r="27" spans="1:14" hidden="1">
      <c r="A27" t="s">
        <v>137</v>
      </c>
      <c r="B27">
        <f t="shared" si="3"/>
        <v>100</v>
      </c>
      <c r="C27" s="6">
        <f t="shared" ca="1" si="2"/>
        <v>105.09064000146182</v>
      </c>
      <c r="D27" s="6">
        <f t="shared" ca="1" si="1"/>
        <v>105.225123488438</v>
      </c>
      <c r="E27" s="6">
        <f t="shared" ca="1" si="1"/>
        <v>104.8592312847051</v>
      </c>
      <c r="F27" s="6">
        <f t="shared" ca="1" si="1"/>
        <v>105.46073876744909</v>
      </c>
      <c r="G27" s="6">
        <f t="shared" ca="1" si="1"/>
        <v>105.77349187141358</v>
      </c>
      <c r="H27" s="6">
        <f t="shared" ca="1" si="1"/>
        <v>105.04016844700639</v>
      </c>
      <c r="I27" s="6">
        <f t="shared" ca="1" si="1"/>
        <v>104.78994122933751</v>
      </c>
      <c r="J27" s="6">
        <f t="shared" ca="1" si="1"/>
        <v>104.82759485302111</v>
      </c>
      <c r="K27" s="6">
        <f t="shared" ca="1" si="1"/>
        <v>104.64134826205581</v>
      </c>
      <c r="L27" s="6">
        <f t="shared" ca="1" si="1"/>
        <v>105.65999762023371</v>
      </c>
      <c r="M27" s="6">
        <f t="shared" ca="1" si="1"/>
        <v>105.25566273896398</v>
      </c>
      <c r="N27" s="6">
        <f t="shared" ca="1" si="1"/>
        <v>104.90876167412237</v>
      </c>
    </row>
    <row r="28" spans="1:14" hidden="1">
      <c r="A28" t="s">
        <v>138</v>
      </c>
      <c r="B28">
        <f t="shared" si="3"/>
        <v>100</v>
      </c>
      <c r="C28" s="6">
        <f t="shared" ca="1" si="2"/>
        <v>105.08468156796059</v>
      </c>
      <c r="D28" s="6">
        <f t="shared" ca="1" si="2"/>
        <v>104.85446377395021</v>
      </c>
      <c r="E28" s="6">
        <f t="shared" ca="1" si="2"/>
        <v>104.94964634026864</v>
      </c>
      <c r="F28" s="6">
        <f t="shared" ca="1" si="2"/>
        <v>105.1657872164571</v>
      </c>
      <c r="G28" s="6">
        <f t="shared" ca="1" si="2"/>
        <v>104.88253877193078</v>
      </c>
      <c r="H28" s="6">
        <f t="shared" ca="1" si="2"/>
        <v>105.40924274589902</v>
      </c>
      <c r="I28" s="6">
        <f t="shared" ca="1" si="2"/>
        <v>105.38176762935862</v>
      </c>
      <c r="J28" s="6">
        <f t="shared" ca="1" si="2"/>
        <v>104.77562506475483</v>
      </c>
      <c r="K28" s="6">
        <f t="shared" ca="1" si="2"/>
        <v>105.6109326981301</v>
      </c>
      <c r="L28" s="6">
        <f t="shared" ca="1" si="2"/>
        <v>105.59238788059551</v>
      </c>
      <c r="M28" s="6">
        <f t="shared" ca="1" si="2"/>
        <v>105.85610726276369</v>
      </c>
      <c r="N28" s="6">
        <f t="shared" ca="1" si="2"/>
        <v>105.21228272800175</v>
      </c>
    </row>
    <row r="29" spans="1:14" hidden="1">
      <c r="A29" t="s">
        <v>139</v>
      </c>
      <c r="B29">
        <f t="shared" si="3"/>
        <v>100</v>
      </c>
      <c r="C29" s="6">
        <f t="shared" ca="1" si="2"/>
        <v>105.17443169197946</v>
      </c>
      <c r="D29" s="6">
        <f t="shared" ca="1" si="2"/>
        <v>105.28160274857937</v>
      </c>
      <c r="E29" s="6">
        <f t="shared" ca="1" si="2"/>
        <v>105.37578479721529</v>
      </c>
      <c r="F29" s="6">
        <f t="shared" ca="1" si="2"/>
        <v>105.33772542295063</v>
      </c>
      <c r="G29" s="6">
        <f t="shared" ca="1" si="2"/>
        <v>105.12060989795661</v>
      </c>
      <c r="H29" s="6">
        <f t="shared" ca="1" si="2"/>
        <v>105.09798748566885</v>
      </c>
      <c r="I29" s="6">
        <f t="shared" ca="1" si="2"/>
        <v>104.92943372375787</v>
      </c>
      <c r="J29" s="6">
        <f t="shared" ca="1" si="2"/>
        <v>105.1595697231859</v>
      </c>
      <c r="K29" s="6">
        <f t="shared" ca="1" si="2"/>
        <v>104.78310730842099</v>
      </c>
      <c r="L29" s="6">
        <f t="shared" ca="1" si="2"/>
        <v>104.93744908600746</v>
      </c>
      <c r="M29" s="6">
        <f t="shared" ca="1" si="2"/>
        <v>105.06582574163984</v>
      </c>
      <c r="N29" s="6">
        <f t="shared" ca="1" si="2"/>
        <v>105.80264539933341</v>
      </c>
    </row>
    <row r="30" spans="1:14" hidden="1">
      <c r="A30" t="s">
        <v>140</v>
      </c>
      <c r="B30">
        <f t="shared" si="3"/>
        <v>100</v>
      </c>
      <c r="C30" s="6">
        <f t="shared" ca="1" si="2"/>
        <v>104.84227761730892</v>
      </c>
      <c r="D30" s="6">
        <f t="shared" ca="1" si="2"/>
        <v>105.04837919548133</v>
      </c>
      <c r="E30" s="6">
        <f t="shared" ca="1" si="2"/>
        <v>104.98420442495464</v>
      </c>
      <c r="F30" s="6">
        <f t="shared" ca="1" si="2"/>
        <v>104.58801019585755</v>
      </c>
      <c r="G30" s="6">
        <f t="shared" ca="1" si="2"/>
        <v>105.4270882828399</v>
      </c>
      <c r="H30" s="6">
        <f t="shared" ca="1" si="2"/>
        <v>105.60811464035382</v>
      </c>
      <c r="I30" s="6">
        <f t="shared" ca="1" si="2"/>
        <v>105.02911224414399</v>
      </c>
      <c r="J30" s="6">
        <f t="shared" ca="1" si="2"/>
        <v>104.52882601200982</v>
      </c>
      <c r="K30" s="6">
        <f t="shared" ca="1" si="2"/>
        <v>104.5674166276993</v>
      </c>
      <c r="L30" s="6">
        <f t="shared" ca="1" si="2"/>
        <v>105.1952938925765</v>
      </c>
      <c r="M30" s="6">
        <f t="shared" ca="1" si="2"/>
        <v>105.75013096930861</v>
      </c>
      <c r="N30" s="6">
        <f t="shared" ca="1" si="2"/>
        <v>104.47454636292971</v>
      </c>
    </row>
    <row r="31" spans="1:14" hidden="1">
      <c r="A31" t="s">
        <v>141</v>
      </c>
      <c r="B31">
        <f t="shared" si="3"/>
        <v>100</v>
      </c>
      <c r="C31" s="6">
        <f t="shared" ca="1" si="2"/>
        <v>105.09617205557257</v>
      </c>
      <c r="D31" s="6">
        <f t="shared" ca="1" si="2"/>
        <v>104.90485186319279</v>
      </c>
      <c r="E31" s="6">
        <f t="shared" ca="1" si="2"/>
        <v>105.35350639533502</v>
      </c>
      <c r="F31" s="6">
        <f t="shared" ca="1" si="2"/>
        <v>105.08930951694184</v>
      </c>
      <c r="G31" s="6">
        <f t="shared" ca="1" si="2"/>
        <v>104.51760846905927</v>
      </c>
      <c r="H31" s="6">
        <f t="shared" ca="1" si="2"/>
        <v>104.92932463154688</v>
      </c>
      <c r="I31" s="6">
        <f t="shared" ca="1" si="2"/>
        <v>105.01549536785595</v>
      </c>
      <c r="J31" s="6">
        <f t="shared" ca="1" si="2"/>
        <v>105.25574918197907</v>
      </c>
      <c r="K31" s="6">
        <f t="shared" ca="1" si="2"/>
        <v>105.19322258717145</v>
      </c>
      <c r="L31" s="6">
        <f t="shared" ca="1" si="2"/>
        <v>105.24923754715188</v>
      </c>
      <c r="M31" s="6">
        <f t="shared" ca="1" si="2"/>
        <v>104.28904755227182</v>
      </c>
      <c r="N31" s="6">
        <f t="shared" ca="1" si="2"/>
        <v>104.58100113906291</v>
      </c>
    </row>
    <row r="32" spans="1:14" hidden="1">
      <c r="A32" t="s">
        <v>142</v>
      </c>
      <c r="B32">
        <f t="shared" si="3"/>
        <v>100</v>
      </c>
      <c r="C32" s="6">
        <f t="shared" ca="1" si="2"/>
        <v>105.09780090526645</v>
      </c>
      <c r="D32" s="6">
        <f t="shared" ca="1" si="2"/>
        <v>105.0361306709522</v>
      </c>
      <c r="E32" s="6">
        <f t="shared" ca="1" si="2"/>
        <v>105.54701228585816</v>
      </c>
      <c r="F32" s="6">
        <f t="shared" ca="1" si="2"/>
        <v>105.05160152846503</v>
      </c>
      <c r="G32" s="6">
        <f t="shared" ca="1" si="2"/>
        <v>105.12375696729964</v>
      </c>
      <c r="H32" s="6">
        <f t="shared" ca="1" si="2"/>
        <v>105.73701699281663</v>
      </c>
      <c r="I32" s="6">
        <f t="shared" ca="1" si="2"/>
        <v>105.45104905915227</v>
      </c>
      <c r="J32" s="6">
        <f t="shared" ca="1" si="2"/>
        <v>104.84050590943609</v>
      </c>
      <c r="K32" s="6">
        <f t="shared" ca="1" si="2"/>
        <v>104.2331156126108</v>
      </c>
      <c r="L32" s="6">
        <f t="shared" ca="1" si="2"/>
        <v>104.46571777242012</v>
      </c>
      <c r="M32" s="6">
        <f t="shared" ca="1" si="2"/>
        <v>106.00507855411971</v>
      </c>
      <c r="N32" s="6">
        <f t="shared" ca="1" si="2"/>
        <v>104.59223514716146</v>
      </c>
    </row>
    <row r="33" spans="1:14" hidden="1">
      <c r="A33" t="s">
        <v>143</v>
      </c>
      <c r="B33">
        <f t="shared" si="3"/>
        <v>100</v>
      </c>
      <c r="C33" s="6">
        <f t="shared" ca="1" si="2"/>
        <v>104.79039222763345</v>
      </c>
      <c r="D33" s="6">
        <f t="shared" ca="1" si="2"/>
        <v>105.06091420606576</v>
      </c>
      <c r="E33" s="6">
        <f t="shared" ca="1" si="2"/>
        <v>104.86290729270695</v>
      </c>
      <c r="F33" s="6">
        <f t="shared" ca="1" si="2"/>
        <v>104.68580530344393</v>
      </c>
      <c r="G33" s="6">
        <f t="shared" ca="1" si="2"/>
        <v>104.52281186410647</v>
      </c>
      <c r="H33" s="6">
        <f t="shared" ca="1" si="2"/>
        <v>105.24963308097568</v>
      </c>
      <c r="I33" s="6">
        <f t="shared" ca="1" si="2"/>
        <v>105.08930900325784</v>
      </c>
      <c r="J33" s="6">
        <f t="shared" ca="1" si="2"/>
        <v>105.1293722669471</v>
      </c>
      <c r="K33" s="6">
        <f t="shared" ca="1" si="2"/>
        <v>105.03058550969</v>
      </c>
      <c r="L33" s="6">
        <f t="shared" ca="1" si="2"/>
        <v>105.596887921114</v>
      </c>
      <c r="M33" s="6">
        <f t="shared" ca="1" si="2"/>
        <v>104.51959204203543</v>
      </c>
      <c r="N33" s="6">
        <f t="shared" ca="1" si="2"/>
        <v>105.33393444579603</v>
      </c>
    </row>
    <row r="34" spans="1:14" hidden="1">
      <c r="A34" t="s">
        <v>144</v>
      </c>
      <c r="B34">
        <f t="shared" si="3"/>
        <v>100</v>
      </c>
      <c r="C34" s="6">
        <f t="shared" ca="1" si="2"/>
        <v>105.08336167555831</v>
      </c>
      <c r="D34" s="6">
        <f t="shared" ca="1" si="2"/>
        <v>104.61046105408016</v>
      </c>
      <c r="E34" s="6">
        <f t="shared" ca="1" si="2"/>
        <v>105.30088359933063</v>
      </c>
      <c r="F34" s="6">
        <f t="shared" ca="1" si="2"/>
        <v>104.92045321814277</v>
      </c>
      <c r="G34" s="6">
        <f t="shared" ca="1" si="2"/>
        <v>105.58809125018279</v>
      </c>
      <c r="H34" s="6">
        <f t="shared" ca="1" si="2"/>
        <v>105.78242067332452</v>
      </c>
      <c r="I34" s="6">
        <f t="shared" ca="1" si="2"/>
        <v>104.71663471863008</v>
      </c>
      <c r="J34" s="6">
        <f t="shared" ca="1" si="2"/>
        <v>104.58157753522357</v>
      </c>
      <c r="K34" s="6">
        <f t="shared" ca="1" si="2"/>
        <v>104.79219047425417</v>
      </c>
      <c r="L34" s="6">
        <f t="shared" ca="1" si="2"/>
        <v>105.51405637666066</v>
      </c>
      <c r="M34" s="6">
        <f t="shared" ca="1" si="2"/>
        <v>105.20274175833437</v>
      </c>
      <c r="N34" s="6">
        <f t="shared" ca="1" si="2"/>
        <v>105.27040643070576</v>
      </c>
    </row>
    <row r="35" spans="1:14" hidden="1">
      <c r="A35" t="s">
        <v>145</v>
      </c>
      <c r="B35">
        <f t="shared" si="3"/>
        <v>100</v>
      </c>
      <c r="C35" s="6">
        <f t="shared" ca="1" si="2"/>
        <v>105.42672316048893</v>
      </c>
      <c r="D35" s="6">
        <f t="shared" ca="1" si="2"/>
        <v>105.16977149646587</v>
      </c>
      <c r="E35" s="6">
        <f t="shared" ca="1" si="2"/>
        <v>105.05563299897786</v>
      </c>
      <c r="F35" s="6">
        <f t="shared" ca="1" si="2"/>
        <v>105.12857878412069</v>
      </c>
      <c r="G35" s="6">
        <f t="shared" ca="1" si="2"/>
        <v>106.06790261499073</v>
      </c>
      <c r="H35" s="6">
        <f t="shared" ca="1" si="2"/>
        <v>105.40107129900225</v>
      </c>
      <c r="I35" s="6">
        <f t="shared" ca="1" si="2"/>
        <v>104.46532059962945</v>
      </c>
      <c r="J35" s="6">
        <f t="shared" ca="1" si="2"/>
        <v>105.52417704806876</v>
      </c>
      <c r="K35" s="6">
        <f t="shared" ca="1" si="2"/>
        <v>104.97180437625107</v>
      </c>
      <c r="L35" s="6">
        <f t="shared" ca="1" si="2"/>
        <v>105.0411915369957</v>
      </c>
      <c r="M35" s="6">
        <f t="shared" ca="1" si="2"/>
        <v>105.37291000641203</v>
      </c>
      <c r="N35" s="6">
        <f t="shared" ca="1" si="2"/>
        <v>104.9957884895735</v>
      </c>
    </row>
    <row r="36" spans="1:14" hidden="1">
      <c r="A36" t="s">
        <v>146</v>
      </c>
      <c r="B36">
        <f t="shared" si="3"/>
        <v>100</v>
      </c>
      <c r="C36" s="6">
        <f t="shared" ca="1" si="2"/>
        <v>104.53408613459767</v>
      </c>
      <c r="D36" s="6">
        <f t="shared" ca="1" si="2"/>
        <v>105.24114031509714</v>
      </c>
      <c r="E36" s="6">
        <f t="shared" ca="1" si="2"/>
        <v>104.85378037061616</v>
      </c>
      <c r="F36" s="6">
        <f t="shared" ca="1" si="2"/>
        <v>104.35634112318401</v>
      </c>
      <c r="G36" s="6">
        <f t="shared" ca="1" si="2"/>
        <v>104.52834627776666</v>
      </c>
      <c r="H36" s="6">
        <f t="shared" ca="1" si="2"/>
        <v>104.76589227940487</v>
      </c>
      <c r="I36" s="6">
        <f t="shared" ca="1" si="2"/>
        <v>105.50063353110211</v>
      </c>
      <c r="J36" s="6">
        <f t="shared" ca="1" si="2"/>
        <v>104.48485699225267</v>
      </c>
      <c r="K36" s="6">
        <f t="shared" ca="1" si="2"/>
        <v>104.82692023889851</v>
      </c>
      <c r="L36" s="6">
        <f t="shared" ca="1" si="2"/>
        <v>104.86549217186584</v>
      </c>
      <c r="M36" s="6">
        <f t="shared" ca="1" si="2"/>
        <v>104.81152738387644</v>
      </c>
      <c r="N36" s="6">
        <f t="shared" ca="1" si="2"/>
        <v>105.00615414045211</v>
      </c>
    </row>
    <row r="37" spans="1:14" hidden="1">
      <c r="A37" t="s">
        <v>147</v>
      </c>
      <c r="B37">
        <f t="shared" si="3"/>
        <v>100</v>
      </c>
      <c r="C37" s="6">
        <f t="shared" ca="1" si="2"/>
        <v>105.11389718476184</v>
      </c>
      <c r="D37" s="6">
        <f t="shared" ca="1" si="2"/>
        <v>105.69211578481267</v>
      </c>
      <c r="E37" s="6">
        <f t="shared" ca="1" si="2"/>
        <v>104.84438110067494</v>
      </c>
      <c r="F37" s="6">
        <f t="shared" ca="1" si="2"/>
        <v>105.1275169576359</v>
      </c>
      <c r="G37" s="6">
        <f t="shared" ca="1" si="2"/>
        <v>105.57966339468689</v>
      </c>
      <c r="H37" s="6">
        <f t="shared" ca="1" si="2"/>
        <v>104.60926761119633</v>
      </c>
      <c r="I37" s="6">
        <f t="shared" ca="1" si="2"/>
        <v>105.85399660449261</v>
      </c>
      <c r="J37" s="6">
        <f t="shared" ca="1" si="2"/>
        <v>105.19364693567789</v>
      </c>
      <c r="K37" s="6">
        <f t="shared" ca="1" si="2"/>
        <v>105.31641273099578</v>
      </c>
      <c r="L37" s="6">
        <f t="shared" ca="1" si="2"/>
        <v>104.85748177967517</v>
      </c>
      <c r="M37" s="6">
        <f t="shared" ca="1" si="2"/>
        <v>105.48945869363695</v>
      </c>
      <c r="N37" s="6">
        <f t="shared" ca="1" si="2"/>
        <v>105.28370333928021</v>
      </c>
    </row>
    <row r="38" spans="1:14" hidden="1">
      <c r="A38" t="s">
        <v>148</v>
      </c>
      <c r="B38">
        <f t="shared" si="3"/>
        <v>100</v>
      </c>
      <c r="C38" s="6">
        <f t="shared" ca="1" si="2"/>
        <v>104.87128510283173</v>
      </c>
      <c r="D38" s="6">
        <f t="shared" ca="1" si="2"/>
        <v>104.75711725116309</v>
      </c>
      <c r="E38" s="6">
        <f t="shared" ca="1" si="2"/>
        <v>105.0246547240679</v>
      </c>
      <c r="F38" s="6">
        <f t="shared" ca="1" si="2"/>
        <v>105.24875797933261</v>
      </c>
      <c r="G38" s="6">
        <f t="shared" ca="1" si="2"/>
        <v>104.52426983903503</v>
      </c>
      <c r="H38" s="6">
        <f t="shared" ca="1" si="2"/>
        <v>104.93794712187402</v>
      </c>
      <c r="I38" s="6">
        <f t="shared" ca="1" si="2"/>
        <v>105.04101435702245</v>
      </c>
      <c r="J38" s="6">
        <f t="shared" ca="1" si="2"/>
        <v>104.95560536280881</v>
      </c>
      <c r="K38" s="6">
        <f t="shared" ca="1" si="2"/>
        <v>104.96855774149125</v>
      </c>
      <c r="L38" s="6">
        <f t="shared" ca="1" si="2"/>
        <v>104.30998747741276</v>
      </c>
      <c r="M38" s="6">
        <f t="shared" ca="1" si="2"/>
        <v>104.39425002371384</v>
      </c>
      <c r="N38" s="6">
        <f t="shared" ca="1" si="2"/>
        <v>104.77181863983192</v>
      </c>
    </row>
    <row r="39" spans="1:14" hidden="1">
      <c r="A39" t="s">
        <v>149</v>
      </c>
      <c r="B39">
        <f t="shared" si="3"/>
        <v>100</v>
      </c>
      <c r="C39" s="6">
        <f t="shared" ca="1" si="2"/>
        <v>105.22863481897022</v>
      </c>
      <c r="D39" s="6">
        <f t="shared" ca="1" si="2"/>
        <v>104.7693989653046</v>
      </c>
      <c r="E39" s="6">
        <f t="shared" ca="1" si="2"/>
        <v>105.08197284875445</v>
      </c>
      <c r="F39" s="6">
        <f t="shared" ca="1" si="2"/>
        <v>105.16407531946798</v>
      </c>
      <c r="G39" s="6">
        <f t="shared" ca="1" si="2"/>
        <v>105.23871415493362</v>
      </c>
      <c r="H39" s="6">
        <f t="shared" ca="1" si="2"/>
        <v>105.6361135035775</v>
      </c>
      <c r="I39" s="6">
        <f t="shared" ca="1" si="2"/>
        <v>105.4393519959537</v>
      </c>
      <c r="J39" s="6">
        <f t="shared" ca="1" si="2"/>
        <v>105.55914214696764</v>
      </c>
      <c r="K39" s="6">
        <f t="shared" ca="1" si="2"/>
        <v>104.82219309278001</v>
      </c>
      <c r="L39" s="6">
        <f t="shared" ca="1" si="2"/>
        <v>105.26471091739226</v>
      </c>
      <c r="M39" s="6">
        <f t="shared" ca="1" si="2"/>
        <v>105.18891994184661</v>
      </c>
      <c r="N39" s="6">
        <f t="shared" ca="1" si="2"/>
        <v>105.11002707131071</v>
      </c>
    </row>
    <row r="40" spans="1:14" hidden="1">
      <c r="A40" t="s">
        <v>150</v>
      </c>
      <c r="B40">
        <f t="shared" si="3"/>
        <v>100</v>
      </c>
      <c r="C40" s="6">
        <f t="shared" ca="1" si="2"/>
        <v>105.14242329223856</v>
      </c>
      <c r="D40" s="6">
        <f t="shared" ca="1" si="2"/>
        <v>104.73776742220532</v>
      </c>
      <c r="E40" s="6">
        <f t="shared" ca="1" si="2"/>
        <v>105.27078782722579</v>
      </c>
      <c r="F40" s="6">
        <f t="shared" ca="1" si="2"/>
        <v>104.53199771637277</v>
      </c>
      <c r="G40" s="6">
        <f t="shared" ca="1" si="2"/>
        <v>104.6884954445726</v>
      </c>
      <c r="H40" s="6">
        <f t="shared" ca="1" si="2"/>
        <v>104.32419724360149</v>
      </c>
      <c r="I40" s="6">
        <f t="shared" ca="1" si="2"/>
        <v>105.03030821965189</v>
      </c>
      <c r="J40" s="6">
        <f t="shared" ca="1" si="2"/>
        <v>104.95828290451533</v>
      </c>
      <c r="K40" s="6">
        <f t="shared" ca="1" si="2"/>
        <v>105.80510761725947</v>
      </c>
      <c r="L40" s="6">
        <f t="shared" ca="1" si="2"/>
        <v>104.95094126803168</v>
      </c>
      <c r="M40" s="6">
        <f t="shared" ca="1" si="2"/>
        <v>104.72364727248572</v>
      </c>
      <c r="N40" s="6">
        <f t="shared" ca="1" si="2"/>
        <v>104.78988037549732</v>
      </c>
    </row>
    <row r="41" spans="1:14" hidden="1">
      <c r="A41" t="s">
        <v>151</v>
      </c>
      <c r="B41">
        <f t="shared" si="3"/>
        <v>100</v>
      </c>
      <c r="C41" s="6">
        <f t="shared" ca="1" si="2"/>
        <v>105.13947629569167</v>
      </c>
      <c r="D41" s="6">
        <f t="shared" ca="1" si="2"/>
        <v>105.18288016012367</v>
      </c>
      <c r="E41" s="6">
        <f t="shared" ca="1" si="2"/>
        <v>105.19280992397172</v>
      </c>
      <c r="F41" s="6">
        <f t="shared" ca="1" si="2"/>
        <v>105.54270777649673</v>
      </c>
      <c r="G41" s="6">
        <f t="shared" ca="1" si="2"/>
        <v>105.21979295420903</v>
      </c>
      <c r="H41" s="6">
        <f t="shared" ca="1" si="2"/>
        <v>105.4750277571143</v>
      </c>
      <c r="I41" s="6">
        <f t="shared" ca="1" si="2"/>
        <v>104.79443128753685</v>
      </c>
      <c r="J41" s="6">
        <f t="shared" ca="1" si="2"/>
        <v>104.66253342529349</v>
      </c>
      <c r="K41" s="6">
        <f t="shared" ca="1" si="2"/>
        <v>104.56052435938314</v>
      </c>
      <c r="L41" s="6">
        <f t="shared" ca="1" si="2"/>
        <v>105.59543336255427</v>
      </c>
      <c r="M41" s="6">
        <f t="shared" ca="1" si="2"/>
        <v>105.01648711647186</v>
      </c>
      <c r="N41" s="6">
        <f t="shared" ca="1" si="2"/>
        <v>105.24692548304046</v>
      </c>
    </row>
    <row r="42" spans="1:14" hidden="1">
      <c r="A42" t="s">
        <v>152</v>
      </c>
      <c r="B42">
        <f t="shared" si="3"/>
        <v>100</v>
      </c>
      <c r="C42" s="6">
        <f t="shared" ca="1" si="2"/>
        <v>104.95407949078077</v>
      </c>
      <c r="D42" s="6">
        <f t="shared" ca="1" si="2"/>
        <v>105.17900692378558</v>
      </c>
      <c r="E42" s="6">
        <f t="shared" ca="1" si="2"/>
        <v>105.22277760980259</v>
      </c>
      <c r="F42" s="6">
        <f t="shared" ca="1" si="2"/>
        <v>105.38493796503097</v>
      </c>
      <c r="G42" s="6">
        <f t="shared" ca="1" si="2"/>
        <v>104.87818395289204</v>
      </c>
      <c r="H42" s="6">
        <f t="shared" ca="1" si="2"/>
        <v>104.59674153837943</v>
      </c>
      <c r="I42" s="6">
        <f t="shared" ca="1" si="2"/>
        <v>105.06615515762148</v>
      </c>
      <c r="J42" s="6">
        <f t="shared" ca="1" si="2"/>
        <v>104.69321220498179</v>
      </c>
      <c r="K42" s="6">
        <f t="shared" ca="1" si="2"/>
        <v>105.40884990894465</v>
      </c>
      <c r="L42" s="6">
        <f t="shared" ca="1" si="2"/>
        <v>106.48613936696307</v>
      </c>
      <c r="M42" s="6">
        <f t="shared" ca="1" si="2"/>
        <v>104.89340083475967</v>
      </c>
      <c r="N42" s="6">
        <f t="shared" ca="1" si="2"/>
        <v>105.8043062871087</v>
      </c>
    </row>
    <row r="43" spans="1:14" hidden="1">
      <c r="A43" t="s">
        <v>153</v>
      </c>
      <c r="B43">
        <f t="shared" si="3"/>
        <v>100</v>
      </c>
      <c r="C43" s="6">
        <f t="shared" ca="1" si="2"/>
        <v>104.89091909859695</v>
      </c>
      <c r="D43" s="6">
        <f t="shared" ca="1" si="2"/>
        <v>105.35181573390365</v>
      </c>
      <c r="E43" s="6">
        <f t="shared" ca="1" si="2"/>
        <v>104.69745640990659</v>
      </c>
      <c r="F43" s="6">
        <f t="shared" ca="1" si="2"/>
        <v>104.79530168310487</v>
      </c>
      <c r="G43" s="6">
        <f t="shared" ca="1" si="2"/>
        <v>105.00141549080624</v>
      </c>
      <c r="H43" s="6">
        <f t="shared" ca="1" si="2"/>
        <v>104.84881791738341</v>
      </c>
      <c r="I43" s="6">
        <f t="shared" ca="1" si="2"/>
        <v>105.29752795840555</v>
      </c>
      <c r="J43" s="6">
        <f t="shared" ca="1" si="2"/>
        <v>106.15019887249689</v>
      </c>
      <c r="K43" s="6">
        <f t="shared" ca="1" si="2"/>
        <v>105.9861569149443</v>
      </c>
      <c r="L43" s="6">
        <f t="shared" ca="1" si="2"/>
        <v>104.717325408036</v>
      </c>
      <c r="M43" s="6">
        <f t="shared" ca="1" si="2"/>
        <v>104.65477466297963</v>
      </c>
      <c r="N43" s="6">
        <f t="shared" ca="1" si="2"/>
        <v>105.02372867557129</v>
      </c>
    </row>
    <row r="44" spans="1:14" hidden="1">
      <c r="A44" t="s">
        <v>154</v>
      </c>
      <c r="B44">
        <f t="shared" si="3"/>
        <v>100</v>
      </c>
      <c r="C44" s="6">
        <f t="shared" ca="1" si="2"/>
        <v>104.71809864973891</v>
      </c>
      <c r="D44" s="6">
        <f t="shared" ca="1" si="2"/>
        <v>105.11810593323935</v>
      </c>
      <c r="E44" s="6">
        <f t="shared" ca="1" si="2"/>
        <v>105.28912016743656</v>
      </c>
      <c r="F44" s="6">
        <f t="shared" ca="1" si="2"/>
        <v>104.81376057129961</v>
      </c>
      <c r="G44" s="6">
        <f t="shared" ca="1" si="2"/>
        <v>104.73546179850163</v>
      </c>
      <c r="H44" s="6">
        <f t="shared" ca="1" si="2"/>
        <v>104.8348869806514</v>
      </c>
      <c r="I44" s="6">
        <f t="shared" ca="1" si="2"/>
        <v>105.20078388554316</v>
      </c>
      <c r="J44" s="6">
        <f t="shared" ca="1" si="2"/>
        <v>104.7985052802247</v>
      </c>
      <c r="K44" s="6">
        <f t="shared" ca="1" si="2"/>
        <v>106.17101279360016</v>
      </c>
      <c r="L44" s="6">
        <f t="shared" ca="1" si="2"/>
        <v>104.74558280752959</v>
      </c>
      <c r="M44" s="6">
        <f t="shared" ca="1" si="2"/>
        <v>105.88183969730825</v>
      </c>
      <c r="N44" s="6">
        <f t="shared" ca="1" si="2"/>
        <v>105.61958301921068</v>
      </c>
    </row>
    <row r="45" spans="1:14" hidden="1">
      <c r="A45" t="s">
        <v>155</v>
      </c>
      <c r="B45">
        <f t="shared" si="3"/>
        <v>100</v>
      </c>
      <c r="C45" s="6">
        <f t="shared" ref="C45:N66" ca="1" si="4">$B45+$B45*$B$6*$B$7*EXP($B$3*($B$2-$B$7)*C$9+$B$4*NORMSINV(RAND())*SQRT(C$9))</f>
        <v>105.41627185515411</v>
      </c>
      <c r="D45" s="6">
        <f t="shared" ca="1" si="4"/>
        <v>105.3338322761424</v>
      </c>
      <c r="E45" s="6">
        <f t="shared" ca="1" si="4"/>
        <v>105.00785177981841</v>
      </c>
      <c r="F45" s="6">
        <f t="shared" ca="1" si="4"/>
        <v>105.27052571472397</v>
      </c>
      <c r="G45" s="6">
        <f t="shared" ca="1" si="4"/>
        <v>105.05788763927376</v>
      </c>
      <c r="H45" s="6">
        <f t="shared" ca="1" si="4"/>
        <v>105.39299035197965</v>
      </c>
      <c r="I45" s="6">
        <f t="shared" ca="1" si="4"/>
        <v>104.66883843724538</v>
      </c>
      <c r="J45" s="6">
        <f t="shared" ca="1" si="4"/>
        <v>104.40581413314781</v>
      </c>
      <c r="K45" s="6">
        <f t="shared" ca="1" si="4"/>
        <v>104.32653252377739</v>
      </c>
      <c r="L45" s="6">
        <f t="shared" ca="1" si="4"/>
        <v>104.4838149710052</v>
      </c>
      <c r="M45" s="6">
        <f t="shared" ca="1" si="4"/>
        <v>105.52824041032548</v>
      </c>
      <c r="N45" s="6">
        <f t="shared" ca="1" si="4"/>
        <v>104.46800649213399</v>
      </c>
    </row>
    <row r="46" spans="1:14" hidden="1">
      <c r="A46" t="s">
        <v>156</v>
      </c>
      <c r="B46">
        <f t="shared" si="3"/>
        <v>100</v>
      </c>
      <c r="C46" s="6">
        <f t="shared" ca="1" si="4"/>
        <v>104.96835793694687</v>
      </c>
      <c r="D46" s="6">
        <f t="shared" ca="1" si="4"/>
        <v>104.98009893099827</v>
      </c>
      <c r="E46" s="6">
        <f t="shared" ca="1" si="4"/>
        <v>105.18246191835084</v>
      </c>
      <c r="F46" s="6">
        <f t="shared" ca="1" si="4"/>
        <v>105.24928164928718</v>
      </c>
      <c r="G46" s="6">
        <f t="shared" ca="1" si="4"/>
        <v>105.27705070536166</v>
      </c>
      <c r="H46" s="6">
        <f t="shared" ca="1" si="4"/>
        <v>105.34878254629429</v>
      </c>
      <c r="I46" s="6">
        <f t="shared" ca="1" si="4"/>
        <v>105.46476996250489</v>
      </c>
      <c r="J46" s="6">
        <f t="shared" ca="1" si="4"/>
        <v>105.41406064827724</v>
      </c>
      <c r="K46" s="6">
        <f t="shared" ca="1" si="4"/>
        <v>104.38167355475615</v>
      </c>
      <c r="L46" s="6">
        <f t="shared" ca="1" si="4"/>
        <v>105.20317121573149</v>
      </c>
      <c r="M46" s="6">
        <f t="shared" ca="1" si="4"/>
        <v>105.76273450959145</v>
      </c>
      <c r="N46" s="6">
        <f t="shared" ca="1" si="4"/>
        <v>104.86451426462148</v>
      </c>
    </row>
    <row r="47" spans="1:14" hidden="1">
      <c r="A47" t="s">
        <v>157</v>
      </c>
      <c r="B47">
        <f t="shared" si="3"/>
        <v>100</v>
      </c>
      <c r="C47" s="6">
        <f t="shared" ca="1" si="4"/>
        <v>105.14983035989128</v>
      </c>
      <c r="D47" s="6">
        <f t="shared" ca="1" si="4"/>
        <v>105.06779245272512</v>
      </c>
      <c r="E47" s="6">
        <f t="shared" ca="1" si="4"/>
        <v>104.86474889574954</v>
      </c>
      <c r="F47" s="6">
        <f t="shared" ca="1" si="4"/>
        <v>105.62680338688686</v>
      </c>
      <c r="G47" s="6">
        <f t="shared" ca="1" si="4"/>
        <v>105.61821711041897</v>
      </c>
      <c r="H47" s="6">
        <f t="shared" ca="1" si="4"/>
        <v>105.00237453716767</v>
      </c>
      <c r="I47" s="6">
        <f t="shared" ca="1" si="4"/>
        <v>104.76183722149108</v>
      </c>
      <c r="J47" s="6">
        <f t="shared" ca="1" si="4"/>
        <v>104.88143799971165</v>
      </c>
      <c r="K47" s="6">
        <f t="shared" ca="1" si="4"/>
        <v>105.23168606407174</v>
      </c>
      <c r="L47" s="6">
        <f t="shared" ca="1" si="4"/>
        <v>105.16020683466274</v>
      </c>
      <c r="M47" s="6">
        <f t="shared" ca="1" si="4"/>
        <v>104.96311428528067</v>
      </c>
      <c r="N47" s="6">
        <f t="shared" ca="1" si="4"/>
        <v>105.60251788249042</v>
      </c>
    </row>
    <row r="48" spans="1:14" hidden="1">
      <c r="A48" t="s">
        <v>158</v>
      </c>
      <c r="B48">
        <f t="shared" si="3"/>
        <v>100</v>
      </c>
      <c r="C48" s="6">
        <f t="shared" ca="1" si="4"/>
        <v>105.21562745924876</v>
      </c>
      <c r="D48" s="6">
        <f t="shared" ca="1" si="4"/>
        <v>105.13190699829852</v>
      </c>
      <c r="E48" s="6">
        <f t="shared" ca="1" si="4"/>
        <v>104.87444403854262</v>
      </c>
      <c r="F48" s="6">
        <f t="shared" ca="1" si="4"/>
        <v>105.39127168177053</v>
      </c>
      <c r="G48" s="6">
        <f t="shared" ca="1" si="4"/>
        <v>104.85301320116413</v>
      </c>
      <c r="H48" s="6">
        <f t="shared" ca="1" si="4"/>
        <v>104.91048240009069</v>
      </c>
      <c r="I48" s="6">
        <f t="shared" ca="1" si="4"/>
        <v>104.96807033065282</v>
      </c>
      <c r="J48" s="6">
        <f t="shared" ca="1" si="4"/>
        <v>104.91903505918454</v>
      </c>
      <c r="K48" s="6">
        <f t="shared" ca="1" si="4"/>
        <v>105.11139027476281</v>
      </c>
      <c r="L48" s="6">
        <f t="shared" ca="1" si="4"/>
        <v>104.93289358689998</v>
      </c>
      <c r="M48" s="6">
        <f t="shared" ca="1" si="4"/>
        <v>105.05219519965773</v>
      </c>
      <c r="N48" s="6">
        <f t="shared" ca="1" si="4"/>
        <v>104.54137219980723</v>
      </c>
    </row>
    <row r="49" spans="1:14" hidden="1">
      <c r="A49" t="s">
        <v>159</v>
      </c>
      <c r="B49">
        <f t="shared" si="3"/>
        <v>100</v>
      </c>
      <c r="C49" s="6">
        <f t="shared" ca="1" si="4"/>
        <v>105.20634916557815</v>
      </c>
      <c r="D49" s="6">
        <f t="shared" ca="1" si="4"/>
        <v>104.7904045725948</v>
      </c>
      <c r="E49" s="6">
        <f t="shared" ca="1" si="4"/>
        <v>105.19325357268382</v>
      </c>
      <c r="F49" s="6">
        <f t="shared" ca="1" si="4"/>
        <v>105.05818594130278</v>
      </c>
      <c r="G49" s="6">
        <f t="shared" ca="1" si="4"/>
        <v>105.44542615755319</v>
      </c>
      <c r="H49" s="6">
        <f t="shared" ca="1" si="4"/>
        <v>104.94348120699155</v>
      </c>
      <c r="I49" s="6">
        <f t="shared" ca="1" si="4"/>
        <v>104.57902218822584</v>
      </c>
      <c r="J49" s="6">
        <f t="shared" ca="1" si="4"/>
        <v>105.05569500099803</v>
      </c>
      <c r="K49" s="6">
        <f t="shared" ca="1" si="4"/>
        <v>104.58111591280472</v>
      </c>
      <c r="L49" s="6">
        <f t="shared" ca="1" si="4"/>
        <v>104.97524686778247</v>
      </c>
      <c r="M49" s="6">
        <f t="shared" ca="1" si="4"/>
        <v>105.09001518765297</v>
      </c>
      <c r="N49" s="6">
        <f t="shared" ca="1" si="4"/>
        <v>105.34555543815635</v>
      </c>
    </row>
    <row r="50" spans="1:14" hidden="1">
      <c r="A50" t="s">
        <v>160</v>
      </c>
      <c r="B50">
        <f t="shared" si="3"/>
        <v>100</v>
      </c>
      <c r="C50" s="6">
        <f t="shared" ca="1" si="4"/>
        <v>105.34517194869838</v>
      </c>
      <c r="D50" s="6">
        <f t="shared" ca="1" si="4"/>
        <v>105.29425865301234</v>
      </c>
      <c r="E50" s="6">
        <f t="shared" ca="1" si="4"/>
        <v>105.03119559655727</v>
      </c>
      <c r="F50" s="6">
        <f t="shared" ca="1" si="4"/>
        <v>105.19080891252327</v>
      </c>
      <c r="G50" s="6">
        <f t="shared" ca="1" si="4"/>
        <v>104.64924327639521</v>
      </c>
      <c r="H50" s="6">
        <f t="shared" ca="1" si="4"/>
        <v>104.35333605899271</v>
      </c>
      <c r="I50" s="6">
        <f t="shared" ca="1" si="4"/>
        <v>104.46941289538144</v>
      </c>
      <c r="J50" s="6">
        <f t="shared" ca="1" si="4"/>
        <v>104.58632425371432</v>
      </c>
      <c r="K50" s="6">
        <f t="shared" ca="1" si="4"/>
        <v>105.43318025232861</v>
      </c>
      <c r="L50" s="6">
        <f t="shared" ca="1" si="4"/>
        <v>104.46665725288709</v>
      </c>
      <c r="M50" s="6">
        <f t="shared" ca="1" si="4"/>
        <v>105.72668504994083</v>
      </c>
      <c r="N50" s="6">
        <f t="shared" ca="1" si="4"/>
        <v>105.53358136209272</v>
      </c>
    </row>
    <row r="51" spans="1:14" hidden="1">
      <c r="A51" t="s">
        <v>161</v>
      </c>
      <c r="B51">
        <f t="shared" si="3"/>
        <v>100</v>
      </c>
      <c r="C51" s="6">
        <f t="shared" ca="1" si="4"/>
        <v>105.23760783941937</v>
      </c>
      <c r="D51" s="6">
        <f t="shared" ca="1" si="4"/>
        <v>105.19436338986571</v>
      </c>
      <c r="E51" s="6">
        <f t="shared" ca="1" si="4"/>
        <v>105.50387887282838</v>
      </c>
      <c r="F51" s="6">
        <f t="shared" ca="1" si="4"/>
        <v>105.05481554232215</v>
      </c>
      <c r="G51" s="6">
        <f t="shared" ca="1" si="4"/>
        <v>105.14633556453772</v>
      </c>
      <c r="H51" s="6">
        <f t="shared" ca="1" si="4"/>
        <v>104.51117820721353</v>
      </c>
      <c r="I51" s="6">
        <f t="shared" ca="1" si="4"/>
        <v>104.19581315598849</v>
      </c>
      <c r="J51" s="6">
        <f t="shared" ca="1" si="4"/>
        <v>105.00943505590277</v>
      </c>
      <c r="K51" s="6">
        <f t="shared" ca="1" si="4"/>
        <v>104.84445303696859</v>
      </c>
      <c r="L51" s="6">
        <f t="shared" ca="1" si="4"/>
        <v>105.05948840347148</v>
      </c>
      <c r="M51" s="6">
        <f t="shared" ca="1" si="4"/>
        <v>105.66006595586674</v>
      </c>
      <c r="N51" s="6">
        <f t="shared" ca="1" si="4"/>
        <v>105.46016842688623</v>
      </c>
    </row>
    <row r="52" spans="1:14" hidden="1">
      <c r="A52" t="s">
        <v>162</v>
      </c>
      <c r="B52">
        <f t="shared" si="3"/>
        <v>100</v>
      </c>
      <c r="C52" s="6">
        <f t="shared" ca="1" si="4"/>
        <v>105.11651230326301</v>
      </c>
      <c r="D52" s="6">
        <f t="shared" ca="1" si="4"/>
        <v>104.74714356575591</v>
      </c>
      <c r="E52" s="6">
        <f t="shared" ca="1" si="4"/>
        <v>105.08175179688796</v>
      </c>
      <c r="F52" s="6">
        <f t="shared" ca="1" si="4"/>
        <v>105.14997749243771</v>
      </c>
      <c r="G52" s="6">
        <f t="shared" ca="1" si="4"/>
        <v>105.31921358037413</v>
      </c>
      <c r="H52" s="6">
        <f t="shared" ca="1" si="4"/>
        <v>104.77144828082666</v>
      </c>
      <c r="I52" s="6">
        <f t="shared" ca="1" si="4"/>
        <v>104.97689297095123</v>
      </c>
      <c r="J52" s="6">
        <f t="shared" ca="1" si="4"/>
        <v>104.49262259943288</v>
      </c>
      <c r="K52" s="6">
        <f t="shared" ca="1" si="4"/>
        <v>105.628531093101</v>
      </c>
      <c r="L52" s="6">
        <f t="shared" ca="1" si="4"/>
        <v>105.64648631816023</v>
      </c>
      <c r="M52" s="6">
        <f t="shared" ca="1" si="4"/>
        <v>104.51489002141919</v>
      </c>
      <c r="N52" s="6">
        <f t="shared" ca="1" si="4"/>
        <v>105.63104149512341</v>
      </c>
    </row>
    <row r="53" spans="1:14" hidden="1">
      <c r="A53" t="s">
        <v>163</v>
      </c>
      <c r="B53">
        <f t="shared" si="3"/>
        <v>100</v>
      </c>
      <c r="C53" s="6">
        <f t="shared" ca="1" si="4"/>
        <v>105.14225135481486</v>
      </c>
      <c r="D53" s="6">
        <f t="shared" ca="1" si="4"/>
        <v>105.30762764898496</v>
      </c>
      <c r="E53" s="6">
        <f t="shared" ca="1" si="4"/>
        <v>105.22899335033429</v>
      </c>
      <c r="F53" s="6">
        <f t="shared" ca="1" si="4"/>
        <v>104.95621715685515</v>
      </c>
      <c r="G53" s="6">
        <f t="shared" ca="1" si="4"/>
        <v>105.16193957871717</v>
      </c>
      <c r="H53" s="6">
        <f t="shared" ca="1" si="4"/>
        <v>104.05010459997135</v>
      </c>
      <c r="I53" s="6">
        <f t="shared" ca="1" si="4"/>
        <v>104.92812156164769</v>
      </c>
      <c r="J53" s="6">
        <f t="shared" ca="1" si="4"/>
        <v>105.2161663623726</v>
      </c>
      <c r="K53" s="6">
        <f t="shared" ca="1" si="4"/>
        <v>105.20436922927281</v>
      </c>
      <c r="L53" s="6">
        <f t="shared" ca="1" si="4"/>
        <v>105.1385312626653</v>
      </c>
      <c r="M53" s="6">
        <f t="shared" ca="1" si="4"/>
        <v>104.01617953092671</v>
      </c>
      <c r="N53" s="6">
        <f t="shared" ca="1" si="4"/>
        <v>104.71741914851548</v>
      </c>
    </row>
    <row r="54" spans="1:14" hidden="1">
      <c r="A54" t="s">
        <v>164</v>
      </c>
      <c r="B54">
        <f t="shared" si="3"/>
        <v>100</v>
      </c>
      <c r="C54" s="6">
        <f t="shared" ca="1" si="4"/>
        <v>105.08125745262313</v>
      </c>
      <c r="D54" s="6">
        <f t="shared" ca="1" si="4"/>
        <v>105.36504798482552</v>
      </c>
      <c r="E54" s="6">
        <f t="shared" ca="1" si="4"/>
        <v>105.5049286354441</v>
      </c>
      <c r="F54" s="6">
        <f t="shared" ca="1" si="4"/>
        <v>105.34821344768466</v>
      </c>
      <c r="G54" s="6">
        <f t="shared" ca="1" si="4"/>
        <v>105.14460830834632</v>
      </c>
      <c r="H54" s="6">
        <f t="shared" ca="1" si="4"/>
        <v>105.35941508131054</v>
      </c>
      <c r="I54" s="6">
        <f t="shared" ca="1" si="4"/>
        <v>105.27530453950195</v>
      </c>
      <c r="J54" s="6">
        <f t="shared" ca="1" si="4"/>
        <v>105.68327548885071</v>
      </c>
      <c r="K54" s="6">
        <f t="shared" ca="1" si="4"/>
        <v>104.55868130398648</v>
      </c>
      <c r="L54" s="6">
        <f t="shared" ca="1" si="4"/>
        <v>104.82141800714292</v>
      </c>
      <c r="M54" s="6">
        <f t="shared" ca="1" si="4"/>
        <v>104.73727506857639</v>
      </c>
      <c r="N54" s="6">
        <f t="shared" ca="1" si="4"/>
        <v>104.08714067567568</v>
      </c>
    </row>
    <row r="55" spans="1:14" hidden="1">
      <c r="A55" t="s">
        <v>165</v>
      </c>
      <c r="B55">
        <f t="shared" si="3"/>
        <v>100</v>
      </c>
      <c r="C55" s="6">
        <f t="shared" ca="1" si="4"/>
        <v>105.08995579010255</v>
      </c>
      <c r="D55" s="6">
        <f t="shared" ca="1" si="4"/>
        <v>104.77308219066339</v>
      </c>
      <c r="E55" s="6">
        <f t="shared" ca="1" si="4"/>
        <v>104.66357428344322</v>
      </c>
      <c r="F55" s="6">
        <f t="shared" ca="1" si="4"/>
        <v>105.01843187230303</v>
      </c>
      <c r="G55" s="6">
        <f t="shared" ca="1" si="4"/>
        <v>105.31936871708622</v>
      </c>
      <c r="H55" s="6">
        <f t="shared" ca="1" si="4"/>
        <v>105.6495258786348</v>
      </c>
      <c r="I55" s="6">
        <f t="shared" ca="1" si="4"/>
        <v>105.26590516516143</v>
      </c>
      <c r="J55" s="6">
        <f t="shared" ca="1" si="4"/>
        <v>105.08658535248811</v>
      </c>
      <c r="K55" s="6">
        <f t="shared" ca="1" si="4"/>
        <v>105.80852067913894</v>
      </c>
      <c r="L55" s="6">
        <f t="shared" ca="1" si="4"/>
        <v>105.272577993499</v>
      </c>
      <c r="M55" s="6">
        <f t="shared" ca="1" si="4"/>
        <v>104.93779073269249</v>
      </c>
      <c r="N55" s="6">
        <f t="shared" ca="1" si="4"/>
        <v>105.32179127950178</v>
      </c>
    </row>
    <row r="56" spans="1:14" hidden="1">
      <c r="A56" t="s">
        <v>166</v>
      </c>
      <c r="B56">
        <f t="shared" si="3"/>
        <v>100</v>
      </c>
      <c r="C56" s="6">
        <f t="shared" ca="1" si="4"/>
        <v>104.89400552562851</v>
      </c>
      <c r="D56" s="6">
        <f t="shared" ca="1" si="4"/>
        <v>105.04086315012648</v>
      </c>
      <c r="E56" s="6">
        <f t="shared" ca="1" si="4"/>
        <v>105.01458370030925</v>
      </c>
      <c r="F56" s="6">
        <f t="shared" ca="1" si="4"/>
        <v>105.05901541509037</v>
      </c>
      <c r="G56" s="6">
        <f t="shared" ca="1" si="4"/>
        <v>104.44486149080718</v>
      </c>
      <c r="H56" s="6">
        <f t="shared" ca="1" si="4"/>
        <v>104.32575581750079</v>
      </c>
      <c r="I56" s="6">
        <f t="shared" ca="1" si="4"/>
        <v>105.50671415597164</v>
      </c>
      <c r="J56" s="6">
        <f t="shared" ca="1" si="4"/>
        <v>104.7361074584783</v>
      </c>
      <c r="K56" s="6">
        <f t="shared" ca="1" si="4"/>
        <v>105.13031533700422</v>
      </c>
      <c r="L56" s="6">
        <f t="shared" ca="1" si="4"/>
        <v>105.36752925965199</v>
      </c>
      <c r="M56" s="6">
        <f t="shared" ca="1" si="4"/>
        <v>104.99756940658867</v>
      </c>
      <c r="N56" s="6">
        <f t="shared" ca="1" si="4"/>
        <v>104.7732509333775</v>
      </c>
    </row>
    <row r="57" spans="1:14" hidden="1">
      <c r="A57" t="s">
        <v>167</v>
      </c>
      <c r="B57">
        <f t="shared" si="3"/>
        <v>100</v>
      </c>
      <c r="C57" s="6">
        <f t="shared" ca="1" si="4"/>
        <v>104.91005717636392</v>
      </c>
      <c r="D57" s="6">
        <f t="shared" ca="1" si="4"/>
        <v>105.07974871927469</v>
      </c>
      <c r="E57" s="6">
        <f t="shared" ca="1" si="4"/>
        <v>104.87847266580829</v>
      </c>
      <c r="F57" s="6">
        <f t="shared" ca="1" si="4"/>
        <v>104.69147794939478</v>
      </c>
      <c r="G57" s="6">
        <f t="shared" ca="1" si="4"/>
        <v>104.78442810981613</v>
      </c>
      <c r="H57" s="6">
        <f t="shared" ca="1" si="4"/>
        <v>105.49927390983447</v>
      </c>
      <c r="I57" s="6">
        <f t="shared" ca="1" si="4"/>
        <v>105.02849687949545</v>
      </c>
      <c r="J57" s="6">
        <f t="shared" ca="1" si="4"/>
        <v>104.75446963117837</v>
      </c>
      <c r="K57" s="6">
        <f t="shared" ca="1" si="4"/>
        <v>104.37437837819506</v>
      </c>
      <c r="L57" s="6">
        <f t="shared" ca="1" si="4"/>
        <v>104.79348943218356</v>
      </c>
      <c r="M57" s="6">
        <f t="shared" ca="1" si="4"/>
        <v>105.06042196900583</v>
      </c>
      <c r="N57" s="6">
        <f t="shared" ca="1" si="4"/>
        <v>104.83137352393865</v>
      </c>
    </row>
    <row r="58" spans="1:14" hidden="1">
      <c r="A58" t="s">
        <v>168</v>
      </c>
      <c r="B58">
        <f t="shared" si="3"/>
        <v>100</v>
      </c>
      <c r="C58" s="6">
        <f t="shared" ca="1" si="4"/>
        <v>104.94189551618651</v>
      </c>
      <c r="D58" s="6">
        <f t="shared" ca="1" si="4"/>
        <v>104.94442346126996</v>
      </c>
      <c r="E58" s="6">
        <f t="shared" ca="1" si="4"/>
        <v>105.07545880870049</v>
      </c>
      <c r="F58" s="6">
        <f t="shared" ca="1" si="4"/>
        <v>104.63061655287234</v>
      </c>
      <c r="G58" s="6">
        <f t="shared" ca="1" si="4"/>
        <v>105.66518908497174</v>
      </c>
      <c r="H58" s="6">
        <f t="shared" ca="1" si="4"/>
        <v>105.77388841424852</v>
      </c>
      <c r="I58" s="6">
        <f t="shared" ca="1" si="4"/>
        <v>105.09042160933221</v>
      </c>
      <c r="J58" s="6">
        <f t="shared" ca="1" si="4"/>
        <v>105.68258655817053</v>
      </c>
      <c r="K58" s="6">
        <f t="shared" ca="1" si="4"/>
        <v>105.54856950701131</v>
      </c>
      <c r="L58" s="6">
        <f t="shared" ca="1" si="4"/>
        <v>105.62216713267729</v>
      </c>
      <c r="M58" s="6">
        <f t="shared" ca="1" si="4"/>
        <v>105.72764413628003</v>
      </c>
      <c r="N58" s="6">
        <f t="shared" ca="1" si="4"/>
        <v>105.89297503232582</v>
      </c>
    </row>
    <row r="59" spans="1:14" hidden="1">
      <c r="A59" t="s">
        <v>169</v>
      </c>
      <c r="B59">
        <f t="shared" si="3"/>
        <v>100</v>
      </c>
      <c r="C59" s="6">
        <f t="shared" ca="1" si="4"/>
        <v>104.88393165827267</v>
      </c>
      <c r="D59" s="6">
        <f t="shared" ca="1" si="4"/>
        <v>104.83345108469049</v>
      </c>
      <c r="E59" s="6">
        <f t="shared" ca="1" si="4"/>
        <v>104.84280091540585</v>
      </c>
      <c r="F59" s="6">
        <f t="shared" ca="1" si="4"/>
        <v>104.86089756307089</v>
      </c>
      <c r="G59" s="6">
        <f t="shared" ca="1" si="4"/>
        <v>105.06158285211151</v>
      </c>
      <c r="H59" s="6">
        <f t="shared" ca="1" si="4"/>
        <v>105.72890552547115</v>
      </c>
      <c r="I59" s="6">
        <f t="shared" ca="1" si="4"/>
        <v>105.15736222281133</v>
      </c>
      <c r="J59" s="6">
        <f t="shared" ca="1" si="4"/>
        <v>105.23456654336913</v>
      </c>
      <c r="K59" s="6">
        <f t="shared" ca="1" si="4"/>
        <v>105.09749119149116</v>
      </c>
      <c r="L59" s="6">
        <f t="shared" ca="1" si="4"/>
        <v>104.77413640864486</v>
      </c>
      <c r="M59" s="6">
        <f t="shared" ca="1" si="4"/>
        <v>104.66555857453278</v>
      </c>
      <c r="N59" s="6">
        <f t="shared" ca="1" si="4"/>
        <v>104.49823595244017</v>
      </c>
    </row>
    <row r="60" spans="1:14" hidden="1">
      <c r="A60" t="s">
        <v>170</v>
      </c>
      <c r="B60">
        <f t="shared" si="3"/>
        <v>100</v>
      </c>
      <c r="C60" s="6">
        <f t="shared" ca="1" si="4"/>
        <v>104.77666624288842</v>
      </c>
      <c r="D60" s="6">
        <f t="shared" ca="1" si="4"/>
        <v>104.97289040689655</v>
      </c>
      <c r="E60" s="6">
        <f t="shared" ca="1" si="4"/>
        <v>104.55495098756468</v>
      </c>
      <c r="F60" s="6">
        <f t="shared" ca="1" si="4"/>
        <v>105.37070990326784</v>
      </c>
      <c r="G60" s="6">
        <f t="shared" ca="1" si="4"/>
        <v>105.2162965605706</v>
      </c>
      <c r="H60" s="6">
        <f t="shared" ca="1" si="4"/>
        <v>105.51082442028729</v>
      </c>
      <c r="I60" s="6">
        <f t="shared" ca="1" si="4"/>
        <v>105.18811768067576</v>
      </c>
      <c r="J60" s="6">
        <f t="shared" ca="1" si="4"/>
        <v>104.574518318614</v>
      </c>
      <c r="K60" s="6">
        <f t="shared" ca="1" si="4"/>
        <v>104.71784894728498</v>
      </c>
      <c r="L60" s="6">
        <f t="shared" ca="1" si="4"/>
        <v>104.83510305225323</v>
      </c>
      <c r="M60" s="6">
        <f t="shared" ca="1" si="4"/>
        <v>104.68037505912827</v>
      </c>
      <c r="N60" s="6">
        <f t="shared" ca="1" si="4"/>
        <v>104.88029914824455</v>
      </c>
    </row>
    <row r="61" spans="1:14" hidden="1">
      <c r="A61" t="s">
        <v>171</v>
      </c>
      <c r="B61">
        <f t="shared" si="3"/>
        <v>100</v>
      </c>
      <c r="C61" s="6">
        <f t="shared" ca="1" si="4"/>
        <v>105.03474938798267</v>
      </c>
      <c r="D61" s="6">
        <f t="shared" ca="1" si="4"/>
        <v>105.04545791870743</v>
      </c>
      <c r="E61" s="6">
        <f t="shared" ca="1" si="4"/>
        <v>104.73375103863779</v>
      </c>
      <c r="F61" s="6">
        <f t="shared" ca="1" si="4"/>
        <v>105.5167394556523</v>
      </c>
      <c r="G61" s="6">
        <f t="shared" ca="1" si="4"/>
        <v>104.70492740154927</v>
      </c>
      <c r="H61" s="6">
        <f t="shared" ca="1" si="4"/>
        <v>104.96657207267289</v>
      </c>
      <c r="I61" s="6">
        <f t="shared" ca="1" si="4"/>
        <v>105.69114281910088</v>
      </c>
      <c r="J61" s="6">
        <f t="shared" ca="1" si="4"/>
        <v>104.46278581595641</v>
      </c>
      <c r="K61" s="6">
        <f t="shared" ca="1" si="4"/>
        <v>104.43196079008909</v>
      </c>
      <c r="L61" s="6">
        <f t="shared" ca="1" si="4"/>
        <v>106.37658099330858</v>
      </c>
      <c r="M61" s="6">
        <f t="shared" ca="1" si="4"/>
        <v>104.49592965458186</v>
      </c>
      <c r="N61" s="6">
        <f t="shared" ca="1" si="4"/>
        <v>104.62361974160571</v>
      </c>
    </row>
    <row r="62" spans="1:14" hidden="1">
      <c r="A62" t="s">
        <v>172</v>
      </c>
      <c r="B62">
        <f t="shared" si="3"/>
        <v>100</v>
      </c>
      <c r="C62" s="6">
        <f t="shared" ca="1" si="4"/>
        <v>105.20658379356856</v>
      </c>
      <c r="D62" s="6">
        <f t="shared" ca="1" si="4"/>
        <v>105.30901385220317</v>
      </c>
      <c r="E62" s="6">
        <f t="shared" ca="1" si="4"/>
        <v>104.85891816839226</v>
      </c>
      <c r="F62" s="6">
        <f t="shared" ca="1" si="4"/>
        <v>104.72176307139053</v>
      </c>
      <c r="G62" s="6">
        <f t="shared" ca="1" si="4"/>
        <v>104.35837475069962</v>
      </c>
      <c r="H62" s="6">
        <f t="shared" ca="1" si="4"/>
        <v>105.53481935494314</v>
      </c>
      <c r="I62" s="6">
        <f t="shared" ca="1" si="4"/>
        <v>105.48626381103108</v>
      </c>
      <c r="J62" s="6">
        <f t="shared" ca="1" si="4"/>
        <v>105.75541177077569</v>
      </c>
      <c r="K62" s="6">
        <f t="shared" ca="1" si="4"/>
        <v>105.28707303265517</v>
      </c>
      <c r="L62" s="6">
        <f t="shared" ca="1" si="4"/>
        <v>104.97248913018674</v>
      </c>
      <c r="M62" s="6">
        <f t="shared" ca="1" si="4"/>
        <v>104.93308909189011</v>
      </c>
      <c r="N62" s="6">
        <f t="shared" ca="1" si="4"/>
        <v>105.25186509225115</v>
      </c>
    </row>
    <row r="63" spans="1:14" hidden="1">
      <c r="A63" t="s">
        <v>173</v>
      </c>
      <c r="B63">
        <f t="shared" si="3"/>
        <v>100</v>
      </c>
      <c r="C63" s="6">
        <f t="shared" ca="1" si="4"/>
        <v>105.21965415434833</v>
      </c>
      <c r="D63" s="6">
        <f t="shared" ca="1" si="4"/>
        <v>104.97843219779298</v>
      </c>
      <c r="E63" s="6">
        <f t="shared" ca="1" si="4"/>
        <v>105.35228899734636</v>
      </c>
      <c r="F63" s="6">
        <f t="shared" ca="1" si="4"/>
        <v>104.96745066214454</v>
      </c>
      <c r="G63" s="6">
        <f t="shared" ca="1" si="4"/>
        <v>104.78758630864219</v>
      </c>
      <c r="H63" s="6">
        <f t="shared" ca="1" si="4"/>
        <v>105.39280158200393</v>
      </c>
      <c r="I63" s="6">
        <f t="shared" ca="1" si="4"/>
        <v>105.30867302288439</v>
      </c>
      <c r="J63" s="6">
        <f t="shared" ca="1" si="4"/>
        <v>105.27151519404178</v>
      </c>
      <c r="K63" s="6">
        <f t="shared" ca="1" si="4"/>
        <v>104.85881633153964</v>
      </c>
      <c r="L63" s="6">
        <f t="shared" ca="1" si="4"/>
        <v>104.32535291518471</v>
      </c>
      <c r="M63" s="6">
        <f t="shared" ca="1" si="4"/>
        <v>105.26899469048257</v>
      </c>
      <c r="N63" s="6">
        <f t="shared" ca="1" si="4"/>
        <v>105.4140761785382</v>
      </c>
    </row>
    <row r="64" spans="1:14" hidden="1">
      <c r="A64" t="s">
        <v>174</v>
      </c>
      <c r="B64">
        <f t="shared" si="3"/>
        <v>100</v>
      </c>
      <c r="C64" s="6">
        <f t="shared" ca="1" si="4"/>
        <v>105.18111969963239</v>
      </c>
      <c r="D64" s="6">
        <f t="shared" ca="1" si="4"/>
        <v>105.31479651311045</v>
      </c>
      <c r="E64" s="6">
        <f t="shared" ca="1" si="4"/>
        <v>105.33414969550086</v>
      </c>
      <c r="F64" s="6">
        <f t="shared" ca="1" si="4"/>
        <v>104.96218987892372</v>
      </c>
      <c r="G64" s="6">
        <f t="shared" ca="1" si="4"/>
        <v>104.58881345291833</v>
      </c>
      <c r="H64" s="6">
        <f t="shared" ca="1" si="4"/>
        <v>105.98099171060942</v>
      </c>
      <c r="I64" s="6">
        <f t="shared" ca="1" si="4"/>
        <v>104.47804854461955</v>
      </c>
      <c r="J64" s="6">
        <f t="shared" ca="1" si="4"/>
        <v>105.73264749094187</v>
      </c>
      <c r="K64" s="6">
        <f t="shared" ca="1" si="4"/>
        <v>104.22179204520386</v>
      </c>
      <c r="L64" s="6">
        <f t="shared" ca="1" si="4"/>
        <v>104.28703473092614</v>
      </c>
      <c r="M64" s="6">
        <f t="shared" ca="1" si="4"/>
        <v>105.38180024746963</v>
      </c>
      <c r="N64" s="6">
        <f t="shared" ca="1" si="4"/>
        <v>104.58677221167221</v>
      </c>
    </row>
    <row r="65" spans="1:14" hidden="1">
      <c r="A65" t="s">
        <v>175</v>
      </c>
      <c r="B65">
        <f t="shared" si="3"/>
        <v>100</v>
      </c>
      <c r="C65" s="6">
        <f t="shared" ca="1" si="4"/>
        <v>105.13703802257824</v>
      </c>
      <c r="D65" s="6">
        <f t="shared" ca="1" si="4"/>
        <v>104.85291240193794</v>
      </c>
      <c r="E65" s="6">
        <f t="shared" ca="1" si="4"/>
        <v>105.2602753601888</v>
      </c>
      <c r="F65" s="6">
        <f t="shared" ca="1" si="4"/>
        <v>105.12791820410932</v>
      </c>
      <c r="G65" s="6">
        <f t="shared" ca="1" si="4"/>
        <v>104.608254877039</v>
      </c>
      <c r="H65" s="6">
        <f t="shared" ca="1" si="4"/>
        <v>104.90503953564873</v>
      </c>
      <c r="I65" s="6">
        <f t="shared" ca="1" si="4"/>
        <v>104.54249443444047</v>
      </c>
      <c r="J65" s="6">
        <f t="shared" ca="1" si="4"/>
        <v>105.02761235982447</v>
      </c>
      <c r="K65" s="6">
        <f t="shared" ca="1" si="4"/>
        <v>105.56992840825014</v>
      </c>
      <c r="L65" s="6">
        <f t="shared" ca="1" si="4"/>
        <v>104.85653191881045</v>
      </c>
      <c r="M65" s="6">
        <f t="shared" ca="1" si="4"/>
        <v>105.19125682117098</v>
      </c>
      <c r="N65" s="6">
        <f t="shared" ca="1" si="4"/>
        <v>105.21472842439857</v>
      </c>
    </row>
    <row r="66" spans="1:14" hidden="1">
      <c r="A66" t="s">
        <v>176</v>
      </c>
      <c r="B66">
        <f t="shared" si="3"/>
        <v>100</v>
      </c>
      <c r="C66" s="6">
        <f t="shared" ca="1" si="4"/>
        <v>105.13802453854748</v>
      </c>
      <c r="D66" s="6">
        <f t="shared" ca="1" si="4"/>
        <v>105.2683803674601</v>
      </c>
      <c r="E66" s="6">
        <f t="shared" ca="1" si="4"/>
        <v>104.97586417963603</v>
      </c>
      <c r="F66" s="6">
        <f t="shared" ref="D66:N89" ca="1" si="5">$B66+$B66*$B$6*$B$7*EXP($B$3*($B$2-$B$7)*F$9+$B$4*NORMSINV(RAND())*SQRT(F$9))</f>
        <v>104.97104578838247</v>
      </c>
      <c r="G66" s="6">
        <f t="shared" ca="1" si="5"/>
        <v>104.54828808495085</v>
      </c>
      <c r="H66" s="6">
        <f t="shared" ca="1" si="5"/>
        <v>105.1132335146909</v>
      </c>
      <c r="I66" s="6">
        <f t="shared" ca="1" si="5"/>
        <v>105.34835269178778</v>
      </c>
      <c r="J66" s="6">
        <f t="shared" ca="1" si="5"/>
        <v>105.07141619325385</v>
      </c>
      <c r="K66" s="6">
        <f t="shared" ca="1" si="5"/>
        <v>104.58389572942349</v>
      </c>
      <c r="L66" s="6">
        <f t="shared" ca="1" si="5"/>
        <v>104.84299118657648</v>
      </c>
      <c r="M66" s="6">
        <f t="shared" ca="1" si="5"/>
        <v>105.17675448010952</v>
      </c>
      <c r="N66" s="6">
        <f t="shared" ca="1" si="5"/>
        <v>105.41796335417932</v>
      </c>
    </row>
    <row r="67" spans="1:14" hidden="1">
      <c r="A67" t="s">
        <v>177</v>
      </c>
      <c r="B67">
        <f t="shared" si="3"/>
        <v>100</v>
      </c>
      <c r="C67" s="6">
        <f t="shared" ref="C67:C111" ca="1" si="6">$B67+$B67*$B$6*$B$7*EXP($B$3*($B$2-$B$7)*C$9+$B$4*NORMSINV(RAND())*SQRT(C$9))</f>
        <v>105.13528640816182</v>
      </c>
      <c r="D67" s="6">
        <f t="shared" ca="1" si="5"/>
        <v>105.06860838310403</v>
      </c>
      <c r="E67" s="6">
        <f t="shared" ca="1" si="5"/>
        <v>104.96978761085288</v>
      </c>
      <c r="F67" s="6">
        <f t="shared" ca="1" si="5"/>
        <v>105.08652548435167</v>
      </c>
      <c r="G67" s="6">
        <f t="shared" ca="1" si="5"/>
        <v>105.13858758918968</v>
      </c>
      <c r="H67" s="6">
        <f t="shared" ca="1" si="5"/>
        <v>104.71664187936415</v>
      </c>
      <c r="I67" s="6">
        <f t="shared" ca="1" si="5"/>
        <v>104.85619989006926</v>
      </c>
      <c r="J67" s="6">
        <f t="shared" ca="1" si="5"/>
        <v>105.2009841195874</v>
      </c>
      <c r="K67" s="6">
        <f t="shared" ca="1" si="5"/>
        <v>105.47311115692105</v>
      </c>
      <c r="L67" s="6">
        <f t="shared" ca="1" si="5"/>
        <v>105.97621039919154</v>
      </c>
      <c r="M67" s="6">
        <f t="shared" ca="1" si="5"/>
        <v>105.97425407822237</v>
      </c>
      <c r="N67" s="6">
        <f t="shared" ca="1" si="5"/>
        <v>106.11284235293391</v>
      </c>
    </row>
    <row r="68" spans="1:14" hidden="1">
      <c r="A68" t="s">
        <v>178</v>
      </c>
      <c r="B68">
        <f t="shared" si="3"/>
        <v>100</v>
      </c>
      <c r="C68" s="6">
        <f t="shared" ca="1" si="6"/>
        <v>105.05186343991456</v>
      </c>
      <c r="D68" s="6">
        <f t="shared" ca="1" si="5"/>
        <v>104.97016550355205</v>
      </c>
      <c r="E68" s="6">
        <f t="shared" ca="1" si="5"/>
        <v>105.18396560649316</v>
      </c>
      <c r="F68" s="6">
        <f t="shared" ca="1" si="5"/>
        <v>104.87310256395004</v>
      </c>
      <c r="G68" s="6">
        <f t="shared" ca="1" si="5"/>
        <v>105.15805819413757</v>
      </c>
      <c r="H68" s="6">
        <f t="shared" ca="1" si="5"/>
        <v>104.56496862260582</v>
      </c>
      <c r="I68" s="6">
        <f t="shared" ca="1" si="5"/>
        <v>105.51292616198324</v>
      </c>
      <c r="J68" s="6">
        <f t="shared" ca="1" si="5"/>
        <v>105.60467769224566</v>
      </c>
      <c r="K68" s="6">
        <f t="shared" ca="1" si="5"/>
        <v>104.72362939414042</v>
      </c>
      <c r="L68" s="6">
        <f t="shared" ca="1" si="5"/>
        <v>104.78006210358203</v>
      </c>
      <c r="M68" s="6">
        <f t="shared" ca="1" si="5"/>
        <v>104.83797505342372</v>
      </c>
      <c r="N68" s="6">
        <f t="shared" ca="1" si="5"/>
        <v>104.39075938162497</v>
      </c>
    </row>
    <row r="69" spans="1:14" hidden="1">
      <c r="A69" t="s">
        <v>179</v>
      </c>
      <c r="B69">
        <f t="shared" si="3"/>
        <v>100</v>
      </c>
      <c r="C69" s="6">
        <f t="shared" ca="1" si="6"/>
        <v>105.128089965735</v>
      </c>
      <c r="D69" s="6">
        <f t="shared" ca="1" si="5"/>
        <v>104.97677651020487</v>
      </c>
      <c r="E69" s="6">
        <f t="shared" ca="1" si="5"/>
        <v>105.18896820062881</v>
      </c>
      <c r="F69" s="6">
        <f t="shared" ca="1" si="5"/>
        <v>105.16194042870532</v>
      </c>
      <c r="G69" s="6">
        <f t="shared" ca="1" si="5"/>
        <v>105.09977553889088</v>
      </c>
      <c r="H69" s="6">
        <f t="shared" ca="1" si="5"/>
        <v>104.87105659902103</v>
      </c>
      <c r="I69" s="6">
        <f t="shared" ca="1" si="5"/>
        <v>105.1296872388576</v>
      </c>
      <c r="J69" s="6">
        <f t="shared" ca="1" si="5"/>
        <v>104.54396279885421</v>
      </c>
      <c r="K69" s="6">
        <f t="shared" ca="1" si="5"/>
        <v>104.7996837863512</v>
      </c>
      <c r="L69" s="6">
        <f t="shared" ca="1" si="5"/>
        <v>105.53484657953726</v>
      </c>
      <c r="M69" s="6">
        <f t="shared" ca="1" si="5"/>
        <v>105.37435063072064</v>
      </c>
      <c r="N69" s="6">
        <f t="shared" ca="1" si="5"/>
        <v>105.61857463158664</v>
      </c>
    </row>
    <row r="70" spans="1:14" hidden="1">
      <c r="A70" t="s">
        <v>180</v>
      </c>
      <c r="B70">
        <f t="shared" si="3"/>
        <v>100</v>
      </c>
      <c r="C70" s="6">
        <f t="shared" ca="1" si="6"/>
        <v>105.01211553486456</v>
      </c>
      <c r="D70" s="6">
        <f t="shared" ca="1" si="5"/>
        <v>105.19022447414262</v>
      </c>
      <c r="E70" s="6">
        <f t="shared" ca="1" si="5"/>
        <v>104.63377509653168</v>
      </c>
      <c r="F70" s="6">
        <f t="shared" ca="1" si="5"/>
        <v>104.78105426536726</v>
      </c>
      <c r="G70" s="6">
        <f t="shared" ca="1" si="5"/>
        <v>104.77400696813694</v>
      </c>
      <c r="H70" s="6">
        <f t="shared" ca="1" si="5"/>
        <v>104.93520590269826</v>
      </c>
      <c r="I70" s="6">
        <f t="shared" ca="1" si="5"/>
        <v>105.56833034814611</v>
      </c>
      <c r="J70" s="6">
        <f t="shared" ca="1" si="5"/>
        <v>105.42129814185449</v>
      </c>
      <c r="K70" s="6">
        <f t="shared" ca="1" si="5"/>
        <v>104.87963522091032</v>
      </c>
      <c r="L70" s="6">
        <f t="shared" ca="1" si="5"/>
        <v>104.62832640564488</v>
      </c>
      <c r="M70" s="6">
        <f t="shared" ca="1" si="5"/>
        <v>105.19396124757408</v>
      </c>
      <c r="N70" s="6">
        <f t="shared" ca="1" si="5"/>
        <v>105.84669408977973</v>
      </c>
    </row>
    <row r="71" spans="1:14" hidden="1">
      <c r="A71" t="s">
        <v>181</v>
      </c>
      <c r="B71">
        <f t="shared" si="3"/>
        <v>100</v>
      </c>
      <c r="C71" s="6">
        <f t="shared" ca="1" si="6"/>
        <v>105.22697254393599</v>
      </c>
      <c r="D71" s="6">
        <f t="shared" ca="1" si="5"/>
        <v>104.98228200358037</v>
      </c>
      <c r="E71" s="6">
        <f t="shared" ca="1" si="5"/>
        <v>104.91220923142757</v>
      </c>
      <c r="F71" s="6">
        <f t="shared" ca="1" si="5"/>
        <v>105.09201618780264</v>
      </c>
      <c r="G71" s="6">
        <f t="shared" ca="1" si="5"/>
        <v>104.84472292839403</v>
      </c>
      <c r="H71" s="6">
        <f t="shared" ca="1" si="5"/>
        <v>104.68765181361145</v>
      </c>
      <c r="I71" s="6">
        <f t="shared" ca="1" si="5"/>
        <v>105.6701266572216</v>
      </c>
      <c r="J71" s="6">
        <f t="shared" ca="1" si="5"/>
        <v>105.21774914320889</v>
      </c>
      <c r="K71" s="6">
        <f t="shared" ca="1" si="5"/>
        <v>105.22418681324574</v>
      </c>
      <c r="L71" s="6">
        <f t="shared" ca="1" si="5"/>
        <v>105.60240470026667</v>
      </c>
      <c r="M71" s="6">
        <f t="shared" ca="1" si="5"/>
        <v>104.27404974974216</v>
      </c>
      <c r="N71" s="6">
        <f t="shared" ca="1" si="5"/>
        <v>104.62164951668078</v>
      </c>
    </row>
    <row r="72" spans="1:14" hidden="1">
      <c r="A72" t="s">
        <v>182</v>
      </c>
      <c r="B72">
        <f t="shared" si="3"/>
        <v>100</v>
      </c>
      <c r="C72" s="6">
        <f t="shared" ca="1" si="6"/>
        <v>105.08041428220267</v>
      </c>
      <c r="D72" s="6">
        <f t="shared" ca="1" si="5"/>
        <v>105.21300578297979</v>
      </c>
      <c r="E72" s="6">
        <f t="shared" ca="1" si="5"/>
        <v>105.22196128849716</v>
      </c>
      <c r="F72" s="6">
        <f t="shared" ca="1" si="5"/>
        <v>105.06624065050151</v>
      </c>
      <c r="G72" s="6">
        <f t="shared" ca="1" si="5"/>
        <v>105.49512390544747</v>
      </c>
      <c r="H72" s="6">
        <f t="shared" ca="1" si="5"/>
        <v>104.78606343099733</v>
      </c>
      <c r="I72" s="6">
        <f t="shared" ca="1" si="5"/>
        <v>104.46405880169276</v>
      </c>
      <c r="J72" s="6">
        <f t="shared" ca="1" si="5"/>
        <v>104.87680974406985</v>
      </c>
      <c r="K72" s="6">
        <f t="shared" ca="1" si="5"/>
        <v>105.42733672952019</v>
      </c>
      <c r="L72" s="6">
        <f t="shared" ca="1" si="5"/>
        <v>106.07402633693371</v>
      </c>
      <c r="M72" s="6">
        <f t="shared" ca="1" si="5"/>
        <v>105.04877408704117</v>
      </c>
      <c r="N72" s="6">
        <f t="shared" ca="1" si="5"/>
        <v>104.70766378145113</v>
      </c>
    </row>
    <row r="73" spans="1:14" hidden="1">
      <c r="A73" t="s">
        <v>183</v>
      </c>
      <c r="B73">
        <f t="shared" si="3"/>
        <v>100</v>
      </c>
      <c r="C73" s="6">
        <f t="shared" ca="1" si="6"/>
        <v>105.12152871390111</v>
      </c>
      <c r="D73" s="6">
        <f t="shared" ca="1" si="5"/>
        <v>104.86157184275095</v>
      </c>
      <c r="E73" s="6">
        <f t="shared" ca="1" si="5"/>
        <v>104.5458021259912</v>
      </c>
      <c r="F73" s="6">
        <f t="shared" ca="1" si="5"/>
        <v>104.57027210727354</v>
      </c>
      <c r="G73" s="6">
        <f t="shared" ca="1" si="5"/>
        <v>105.55110856186198</v>
      </c>
      <c r="H73" s="6">
        <f t="shared" ca="1" si="5"/>
        <v>104.85429175977268</v>
      </c>
      <c r="I73" s="6">
        <f t="shared" ca="1" si="5"/>
        <v>105.17148227588085</v>
      </c>
      <c r="J73" s="6">
        <f t="shared" ca="1" si="5"/>
        <v>105.22536659678211</v>
      </c>
      <c r="K73" s="6">
        <f t="shared" ca="1" si="5"/>
        <v>104.83569011313918</v>
      </c>
      <c r="L73" s="6">
        <f t="shared" ca="1" si="5"/>
        <v>105.35772404139122</v>
      </c>
      <c r="M73" s="6">
        <f t="shared" ca="1" si="5"/>
        <v>105.01940968551233</v>
      </c>
      <c r="N73" s="6">
        <f t="shared" ca="1" si="5"/>
        <v>104.43754103735247</v>
      </c>
    </row>
    <row r="74" spans="1:14" hidden="1">
      <c r="A74" t="s">
        <v>184</v>
      </c>
      <c r="B74">
        <f t="shared" si="3"/>
        <v>100</v>
      </c>
      <c r="C74" s="6">
        <f t="shared" ca="1" si="6"/>
        <v>104.84717541437044</v>
      </c>
      <c r="D74" s="6">
        <f t="shared" ca="1" si="5"/>
        <v>104.95559344366575</v>
      </c>
      <c r="E74" s="6">
        <f t="shared" ca="1" si="5"/>
        <v>105.01242096480259</v>
      </c>
      <c r="F74" s="6">
        <f t="shared" ca="1" si="5"/>
        <v>104.75072061110627</v>
      </c>
      <c r="G74" s="6">
        <f t="shared" ca="1" si="5"/>
        <v>104.98964709420663</v>
      </c>
      <c r="H74" s="6">
        <f t="shared" ca="1" si="5"/>
        <v>104.91978819383857</v>
      </c>
      <c r="I74" s="6">
        <f t="shared" ca="1" si="5"/>
        <v>105.02981963980443</v>
      </c>
      <c r="J74" s="6">
        <f t="shared" ca="1" si="5"/>
        <v>105.2594356874741</v>
      </c>
      <c r="K74" s="6">
        <f t="shared" ca="1" si="5"/>
        <v>105.66313834869882</v>
      </c>
      <c r="L74" s="6">
        <f t="shared" ca="1" si="5"/>
        <v>104.5330150655051</v>
      </c>
      <c r="M74" s="6">
        <f t="shared" ca="1" si="5"/>
        <v>104.73653562579847</v>
      </c>
      <c r="N74" s="6">
        <f t="shared" ca="1" si="5"/>
        <v>104.71026295662334</v>
      </c>
    </row>
    <row r="75" spans="1:14" hidden="1">
      <c r="A75" t="s">
        <v>185</v>
      </c>
      <c r="B75">
        <f t="shared" si="3"/>
        <v>100</v>
      </c>
      <c r="C75" s="6">
        <f t="shared" ca="1" si="6"/>
        <v>104.70680479124397</v>
      </c>
      <c r="D75" s="6">
        <f t="shared" ca="1" si="5"/>
        <v>104.84619133815853</v>
      </c>
      <c r="E75" s="6">
        <f t="shared" ca="1" si="5"/>
        <v>105.02574611909145</v>
      </c>
      <c r="F75" s="6">
        <f t="shared" ca="1" si="5"/>
        <v>104.72181962662827</v>
      </c>
      <c r="G75" s="6">
        <f t="shared" ca="1" si="5"/>
        <v>105.10609857941093</v>
      </c>
      <c r="H75" s="6">
        <f t="shared" ca="1" si="5"/>
        <v>105.72592406085575</v>
      </c>
      <c r="I75" s="6">
        <f t="shared" ca="1" si="5"/>
        <v>105.33622255960833</v>
      </c>
      <c r="J75" s="6">
        <f t="shared" ca="1" si="5"/>
        <v>104.51829866105939</v>
      </c>
      <c r="K75" s="6">
        <f t="shared" ca="1" si="5"/>
        <v>105.03775977941054</v>
      </c>
      <c r="L75" s="6">
        <f t="shared" ca="1" si="5"/>
        <v>105.04576196285676</v>
      </c>
      <c r="M75" s="6">
        <f t="shared" ca="1" si="5"/>
        <v>105.1284140921822</v>
      </c>
      <c r="N75" s="6">
        <f t="shared" ca="1" si="5"/>
        <v>105.39886392993814</v>
      </c>
    </row>
    <row r="76" spans="1:14" hidden="1">
      <c r="A76" t="s">
        <v>186</v>
      </c>
      <c r="B76">
        <f t="shared" si="3"/>
        <v>100</v>
      </c>
      <c r="C76" s="6">
        <f t="shared" ca="1" si="6"/>
        <v>104.96654344089588</v>
      </c>
      <c r="D76" s="6">
        <f t="shared" ca="1" si="5"/>
        <v>104.64628958752259</v>
      </c>
      <c r="E76" s="6">
        <f t="shared" ca="1" si="5"/>
        <v>105.29856348182543</v>
      </c>
      <c r="F76" s="6">
        <f t="shared" ca="1" si="5"/>
        <v>104.66883005254584</v>
      </c>
      <c r="G76" s="6">
        <f t="shared" ca="1" si="5"/>
        <v>104.92085272502348</v>
      </c>
      <c r="H76" s="6">
        <f t="shared" ca="1" si="5"/>
        <v>104.89893755646573</v>
      </c>
      <c r="I76" s="6">
        <f t="shared" ca="1" si="5"/>
        <v>105.76720702946992</v>
      </c>
      <c r="J76" s="6">
        <f t="shared" ca="1" si="5"/>
        <v>104.7160543826475</v>
      </c>
      <c r="K76" s="6">
        <f t="shared" ca="1" si="5"/>
        <v>104.77566948772679</v>
      </c>
      <c r="L76" s="6">
        <f t="shared" ca="1" si="5"/>
        <v>104.81195278456374</v>
      </c>
      <c r="M76" s="6">
        <f t="shared" ca="1" si="5"/>
        <v>105.14556766615985</v>
      </c>
      <c r="N76" s="6">
        <f t="shared" ca="1" si="5"/>
        <v>105.65133316038546</v>
      </c>
    </row>
    <row r="77" spans="1:14" hidden="1">
      <c r="A77" t="s">
        <v>187</v>
      </c>
      <c r="B77">
        <f t="shared" si="3"/>
        <v>100</v>
      </c>
      <c r="C77" s="6">
        <f t="shared" ca="1" si="6"/>
        <v>105.1431821999889</v>
      </c>
      <c r="D77" s="6">
        <f t="shared" ca="1" si="5"/>
        <v>105.24614171336171</v>
      </c>
      <c r="E77" s="6">
        <f t="shared" ca="1" si="5"/>
        <v>104.9451922794812</v>
      </c>
      <c r="F77" s="6">
        <f t="shared" ca="1" si="5"/>
        <v>105.04088298799731</v>
      </c>
      <c r="G77" s="6">
        <f t="shared" ca="1" si="5"/>
        <v>105.10211888368089</v>
      </c>
      <c r="H77" s="6">
        <f t="shared" ca="1" si="5"/>
        <v>104.78792951692614</v>
      </c>
      <c r="I77" s="6">
        <f t="shared" ca="1" si="5"/>
        <v>104.69318689290998</v>
      </c>
      <c r="J77" s="6">
        <f t="shared" ca="1" si="5"/>
        <v>105.40537330760372</v>
      </c>
      <c r="K77" s="6">
        <f t="shared" ca="1" si="5"/>
        <v>104.64221543168314</v>
      </c>
      <c r="L77" s="6">
        <f t="shared" ca="1" si="5"/>
        <v>104.60897526378612</v>
      </c>
      <c r="M77" s="6">
        <f t="shared" ca="1" si="5"/>
        <v>105.32386679414803</v>
      </c>
      <c r="N77" s="6">
        <f t="shared" ca="1" si="5"/>
        <v>104.27848337426094</v>
      </c>
    </row>
    <row r="78" spans="1:14" hidden="1">
      <c r="A78" t="s">
        <v>188</v>
      </c>
      <c r="B78">
        <f t="shared" ref="B78:B111" si="7">$B$10</f>
        <v>100</v>
      </c>
      <c r="C78" s="6">
        <f t="shared" ca="1" si="6"/>
        <v>105.25888142208696</v>
      </c>
      <c r="D78" s="6">
        <f t="shared" ca="1" si="5"/>
        <v>105.46682049850064</v>
      </c>
      <c r="E78" s="6">
        <f t="shared" ca="1" si="5"/>
        <v>104.9984424416145</v>
      </c>
      <c r="F78" s="6">
        <f t="shared" ca="1" si="5"/>
        <v>105.20327796215182</v>
      </c>
      <c r="G78" s="6">
        <f t="shared" ca="1" si="5"/>
        <v>105.79424612600674</v>
      </c>
      <c r="H78" s="6">
        <f t="shared" ca="1" si="5"/>
        <v>104.70349614720188</v>
      </c>
      <c r="I78" s="6">
        <f t="shared" ca="1" si="5"/>
        <v>105.21339601043198</v>
      </c>
      <c r="J78" s="6">
        <f t="shared" ca="1" si="5"/>
        <v>105.19759122491342</v>
      </c>
      <c r="K78" s="6">
        <f t="shared" ca="1" si="5"/>
        <v>106.16659548456261</v>
      </c>
      <c r="L78" s="6">
        <f t="shared" ca="1" si="5"/>
        <v>105.50659338532007</v>
      </c>
      <c r="M78" s="6">
        <f t="shared" ca="1" si="5"/>
        <v>105.35403353574381</v>
      </c>
      <c r="N78" s="6">
        <f t="shared" ca="1" si="5"/>
        <v>104.97786155986566</v>
      </c>
    </row>
    <row r="79" spans="1:14" hidden="1">
      <c r="A79" t="s">
        <v>189</v>
      </c>
      <c r="B79">
        <f t="shared" si="7"/>
        <v>100</v>
      </c>
      <c r="C79" s="6">
        <f t="shared" ca="1" si="6"/>
        <v>105.33131495111311</v>
      </c>
      <c r="D79" s="6">
        <f t="shared" ca="1" si="5"/>
        <v>105.16549248180667</v>
      </c>
      <c r="E79" s="6">
        <f t="shared" ca="1" si="5"/>
        <v>104.7316369591409</v>
      </c>
      <c r="F79" s="6">
        <f t="shared" ca="1" si="5"/>
        <v>105.45016713551821</v>
      </c>
      <c r="G79" s="6">
        <f t="shared" ca="1" si="5"/>
        <v>104.69276666590252</v>
      </c>
      <c r="H79" s="6">
        <f t="shared" ca="1" si="5"/>
        <v>104.76381841793751</v>
      </c>
      <c r="I79" s="6">
        <f t="shared" ca="1" si="5"/>
        <v>105.39931287401946</v>
      </c>
      <c r="J79" s="6">
        <f t="shared" ca="1" si="5"/>
        <v>104.55586491794455</v>
      </c>
      <c r="K79" s="6">
        <f t="shared" ca="1" si="5"/>
        <v>105.51021625231444</v>
      </c>
      <c r="L79" s="6">
        <f t="shared" ca="1" si="5"/>
        <v>105.17700880401475</v>
      </c>
      <c r="M79" s="6">
        <f t="shared" ca="1" si="5"/>
        <v>105.32202599620457</v>
      </c>
      <c r="N79" s="6">
        <f t="shared" ca="1" si="5"/>
        <v>105.35304197036527</v>
      </c>
    </row>
    <row r="80" spans="1:14" hidden="1">
      <c r="A80" t="s">
        <v>190</v>
      </c>
      <c r="B80">
        <f t="shared" si="7"/>
        <v>100</v>
      </c>
      <c r="C80" s="6">
        <f t="shared" ca="1" si="6"/>
        <v>104.9446088095597</v>
      </c>
      <c r="D80" s="6">
        <f t="shared" ca="1" si="5"/>
        <v>104.98956797190614</v>
      </c>
      <c r="E80" s="6">
        <f t="shared" ca="1" si="5"/>
        <v>105.17826553064852</v>
      </c>
      <c r="F80" s="6">
        <f t="shared" ca="1" si="5"/>
        <v>104.88040203349298</v>
      </c>
      <c r="G80" s="6">
        <f t="shared" ca="1" si="5"/>
        <v>105.07215547052104</v>
      </c>
      <c r="H80" s="6">
        <f t="shared" ca="1" si="5"/>
        <v>105.93260407706359</v>
      </c>
      <c r="I80" s="6">
        <f t="shared" ca="1" si="5"/>
        <v>104.84154471372898</v>
      </c>
      <c r="J80" s="6">
        <f t="shared" ca="1" si="5"/>
        <v>104.98614893593835</v>
      </c>
      <c r="K80" s="6">
        <f t="shared" ca="1" si="5"/>
        <v>104.69378557877639</v>
      </c>
      <c r="L80" s="6">
        <f t="shared" ca="1" si="5"/>
        <v>105.52851434908968</v>
      </c>
      <c r="M80" s="6">
        <f t="shared" ca="1" si="5"/>
        <v>104.38853030759233</v>
      </c>
      <c r="N80" s="6">
        <f t="shared" ca="1" si="5"/>
        <v>103.87468630561695</v>
      </c>
    </row>
    <row r="81" spans="1:14" hidden="1">
      <c r="A81" t="s">
        <v>191</v>
      </c>
      <c r="B81">
        <f t="shared" si="7"/>
        <v>100</v>
      </c>
      <c r="C81" s="6">
        <f t="shared" ca="1" si="6"/>
        <v>105.15149484763559</v>
      </c>
      <c r="D81" s="6">
        <f t="shared" ca="1" si="5"/>
        <v>105.28838990404775</v>
      </c>
      <c r="E81" s="6">
        <f t="shared" ca="1" si="5"/>
        <v>105.04929123371366</v>
      </c>
      <c r="F81" s="6">
        <f t="shared" ca="1" si="5"/>
        <v>104.90982518123583</v>
      </c>
      <c r="G81" s="6">
        <f t="shared" ca="1" si="5"/>
        <v>104.71687369909951</v>
      </c>
      <c r="H81" s="6">
        <f t="shared" ca="1" si="5"/>
        <v>104.70830161052749</v>
      </c>
      <c r="I81" s="6">
        <f t="shared" ca="1" si="5"/>
        <v>104.52103094376933</v>
      </c>
      <c r="J81" s="6">
        <f t="shared" ca="1" si="5"/>
        <v>105.14334817324124</v>
      </c>
      <c r="K81" s="6">
        <f t="shared" ca="1" si="5"/>
        <v>104.54139293285888</v>
      </c>
      <c r="L81" s="6">
        <f t="shared" ca="1" si="5"/>
        <v>104.83550396983307</v>
      </c>
      <c r="M81" s="6">
        <f t="shared" ca="1" si="5"/>
        <v>105.37642730294003</v>
      </c>
      <c r="N81" s="6">
        <f t="shared" ca="1" si="5"/>
        <v>105.43420076055654</v>
      </c>
    </row>
    <row r="82" spans="1:14" hidden="1">
      <c r="A82" t="s">
        <v>192</v>
      </c>
      <c r="B82">
        <f t="shared" si="7"/>
        <v>100</v>
      </c>
      <c r="C82" s="6">
        <f t="shared" ca="1" si="6"/>
        <v>105.37318480167704</v>
      </c>
      <c r="D82" s="6">
        <f t="shared" ca="1" si="5"/>
        <v>105.14401743715359</v>
      </c>
      <c r="E82" s="6">
        <f t="shared" ca="1" si="5"/>
        <v>104.79484809245471</v>
      </c>
      <c r="F82" s="6">
        <f t="shared" ca="1" si="5"/>
        <v>104.60709099851866</v>
      </c>
      <c r="G82" s="6">
        <f t="shared" ca="1" si="5"/>
        <v>105.24566844119474</v>
      </c>
      <c r="H82" s="6">
        <f t="shared" ca="1" si="5"/>
        <v>105.46686131292044</v>
      </c>
      <c r="I82" s="6">
        <f t="shared" ca="1" si="5"/>
        <v>105.02250416272747</v>
      </c>
      <c r="J82" s="6">
        <f t="shared" ca="1" si="5"/>
        <v>104.87160894878687</v>
      </c>
      <c r="K82" s="6">
        <f t="shared" ca="1" si="5"/>
        <v>105.16309646495192</v>
      </c>
      <c r="L82" s="6">
        <f t="shared" ca="1" si="5"/>
        <v>104.27868664322392</v>
      </c>
      <c r="M82" s="6">
        <f t="shared" ca="1" si="5"/>
        <v>105.4054500920834</v>
      </c>
      <c r="N82" s="6">
        <f t="shared" ca="1" si="5"/>
        <v>105.09409911655396</v>
      </c>
    </row>
    <row r="83" spans="1:14" hidden="1">
      <c r="A83" t="s">
        <v>193</v>
      </c>
      <c r="B83">
        <f t="shared" si="7"/>
        <v>100</v>
      </c>
      <c r="C83" s="6">
        <f t="shared" ca="1" si="6"/>
        <v>105.1695209253856</v>
      </c>
      <c r="D83" s="6">
        <f t="shared" ca="1" si="5"/>
        <v>105.06152718287835</v>
      </c>
      <c r="E83" s="6">
        <f t="shared" ca="1" si="5"/>
        <v>105.0672178545433</v>
      </c>
      <c r="F83" s="6">
        <f t="shared" ca="1" si="5"/>
        <v>104.97545601641052</v>
      </c>
      <c r="G83" s="6">
        <f t="shared" ca="1" si="5"/>
        <v>105.16585875710673</v>
      </c>
      <c r="H83" s="6">
        <f t="shared" ca="1" si="5"/>
        <v>104.7706715990282</v>
      </c>
      <c r="I83" s="6">
        <f t="shared" ca="1" si="5"/>
        <v>104.94443256727519</v>
      </c>
      <c r="J83" s="6">
        <f t="shared" ca="1" si="5"/>
        <v>104.59862032421168</v>
      </c>
      <c r="K83" s="6">
        <f t="shared" ca="1" si="5"/>
        <v>104.93783290200518</v>
      </c>
      <c r="L83" s="6">
        <f t="shared" ca="1" si="5"/>
        <v>105.02866155224942</v>
      </c>
      <c r="M83" s="6">
        <f t="shared" ca="1" si="5"/>
        <v>105.54869264839606</v>
      </c>
      <c r="N83" s="6">
        <f t="shared" ca="1" si="5"/>
        <v>104.74719077542871</v>
      </c>
    </row>
    <row r="84" spans="1:14" hidden="1">
      <c r="A84" t="s">
        <v>194</v>
      </c>
      <c r="B84">
        <f t="shared" si="7"/>
        <v>100</v>
      </c>
      <c r="C84" s="6">
        <f t="shared" ca="1" si="6"/>
        <v>104.86954402211326</v>
      </c>
      <c r="D84" s="6">
        <f t="shared" ca="1" si="5"/>
        <v>105.11407412770407</v>
      </c>
      <c r="E84" s="6">
        <f t="shared" ca="1" si="5"/>
        <v>105.45719858372424</v>
      </c>
      <c r="F84" s="6">
        <f t="shared" ca="1" si="5"/>
        <v>104.60946252539978</v>
      </c>
      <c r="G84" s="6">
        <f t="shared" ca="1" si="5"/>
        <v>105.01971251715122</v>
      </c>
      <c r="H84" s="6">
        <f t="shared" ca="1" si="5"/>
        <v>105.32175687265745</v>
      </c>
      <c r="I84" s="6">
        <f t="shared" ca="1" si="5"/>
        <v>106.17479658206828</v>
      </c>
      <c r="J84" s="6">
        <f t="shared" ca="1" si="5"/>
        <v>105.39323704504882</v>
      </c>
      <c r="K84" s="6">
        <f t="shared" ca="1" si="5"/>
        <v>105.35487107634304</v>
      </c>
      <c r="L84" s="6">
        <f t="shared" ca="1" si="5"/>
        <v>105.80946640779059</v>
      </c>
      <c r="M84" s="6">
        <f t="shared" ca="1" si="5"/>
        <v>104.71894798043857</v>
      </c>
      <c r="N84" s="6">
        <f t="shared" ca="1" si="5"/>
        <v>105.14402742946703</v>
      </c>
    </row>
    <row r="85" spans="1:14" hidden="1">
      <c r="A85" t="s">
        <v>195</v>
      </c>
      <c r="B85">
        <f t="shared" si="7"/>
        <v>100</v>
      </c>
      <c r="C85" s="6">
        <f t="shared" ca="1" si="6"/>
        <v>105.08349905610035</v>
      </c>
      <c r="D85" s="6">
        <f t="shared" ca="1" si="5"/>
        <v>105.01457913110414</v>
      </c>
      <c r="E85" s="6">
        <f t="shared" ca="1" si="5"/>
        <v>104.92821228847882</v>
      </c>
      <c r="F85" s="6">
        <f t="shared" ca="1" si="5"/>
        <v>105.8518299699754</v>
      </c>
      <c r="G85" s="6">
        <f t="shared" ca="1" si="5"/>
        <v>105.3788943950898</v>
      </c>
      <c r="H85" s="6">
        <f t="shared" ca="1" si="5"/>
        <v>105.73230045661329</v>
      </c>
      <c r="I85" s="6">
        <f t="shared" ca="1" si="5"/>
        <v>105.93440339769899</v>
      </c>
      <c r="J85" s="6">
        <f t="shared" ca="1" si="5"/>
        <v>105.37236647360027</v>
      </c>
      <c r="K85" s="6">
        <f t="shared" ca="1" si="5"/>
        <v>104.9222052215805</v>
      </c>
      <c r="L85" s="6">
        <f t="shared" ca="1" si="5"/>
        <v>105.38040448458528</v>
      </c>
      <c r="M85" s="6">
        <f t="shared" ca="1" si="5"/>
        <v>105.74072652508377</v>
      </c>
      <c r="N85" s="6">
        <f t="shared" ca="1" si="5"/>
        <v>105.08907984191137</v>
      </c>
    </row>
    <row r="86" spans="1:14" hidden="1">
      <c r="A86" t="s">
        <v>196</v>
      </c>
      <c r="B86">
        <f t="shared" si="7"/>
        <v>100</v>
      </c>
      <c r="C86" s="6">
        <f t="shared" ca="1" si="6"/>
        <v>105.03539701551082</v>
      </c>
      <c r="D86" s="6">
        <f t="shared" ca="1" si="5"/>
        <v>104.86912453617509</v>
      </c>
      <c r="E86" s="6">
        <f t="shared" ca="1" si="5"/>
        <v>105.18558866070062</v>
      </c>
      <c r="F86" s="6">
        <f t="shared" ca="1" si="5"/>
        <v>105.35904871265082</v>
      </c>
      <c r="G86" s="6">
        <f t="shared" ca="1" si="5"/>
        <v>105.38506642323691</v>
      </c>
      <c r="H86" s="6">
        <f t="shared" ca="1" si="5"/>
        <v>105.51761668748937</v>
      </c>
      <c r="I86" s="6">
        <f t="shared" ca="1" si="5"/>
        <v>105.14562867304387</v>
      </c>
      <c r="J86" s="6">
        <f t="shared" ca="1" si="5"/>
        <v>105.18555824235129</v>
      </c>
      <c r="K86" s="6">
        <f t="shared" ca="1" si="5"/>
        <v>105.57180221008545</v>
      </c>
      <c r="L86" s="6">
        <f t="shared" ca="1" si="5"/>
        <v>105.06039296848473</v>
      </c>
      <c r="M86" s="6">
        <f t="shared" ca="1" si="5"/>
        <v>105.19241679919797</v>
      </c>
      <c r="N86" s="6">
        <f t="shared" ca="1" si="5"/>
        <v>104.52130173583403</v>
      </c>
    </row>
    <row r="87" spans="1:14" hidden="1">
      <c r="A87" t="s">
        <v>197</v>
      </c>
      <c r="B87">
        <f t="shared" si="7"/>
        <v>100</v>
      </c>
      <c r="C87" s="6">
        <f t="shared" ca="1" si="6"/>
        <v>105.18836024339011</v>
      </c>
      <c r="D87" s="6">
        <f t="shared" ca="1" si="5"/>
        <v>105.35692987803567</v>
      </c>
      <c r="E87" s="6">
        <f t="shared" ca="1" si="5"/>
        <v>104.88000775407016</v>
      </c>
      <c r="F87" s="6">
        <f t="shared" ca="1" si="5"/>
        <v>104.85618606628582</v>
      </c>
      <c r="G87" s="6">
        <f t="shared" ca="1" si="5"/>
        <v>105.18034578937444</v>
      </c>
      <c r="H87" s="6">
        <f t="shared" ca="1" si="5"/>
        <v>105.03698671330417</v>
      </c>
      <c r="I87" s="6">
        <f t="shared" ca="1" si="5"/>
        <v>105.42958747211398</v>
      </c>
      <c r="J87" s="6">
        <f t="shared" ca="1" si="5"/>
        <v>104.69450134872802</v>
      </c>
      <c r="K87" s="6">
        <f t="shared" ca="1" si="5"/>
        <v>104.82803650639242</v>
      </c>
      <c r="L87" s="6">
        <f t="shared" ca="1" si="5"/>
        <v>105.2141819727472</v>
      </c>
      <c r="M87" s="6">
        <f t="shared" ca="1" si="5"/>
        <v>104.92885336985792</v>
      </c>
      <c r="N87" s="6">
        <f t="shared" ca="1" si="5"/>
        <v>105.33950675279632</v>
      </c>
    </row>
    <row r="88" spans="1:14" hidden="1">
      <c r="A88" t="s">
        <v>198</v>
      </c>
      <c r="B88">
        <f t="shared" si="7"/>
        <v>100</v>
      </c>
      <c r="C88" s="6">
        <f t="shared" ca="1" si="6"/>
        <v>105.12401779505683</v>
      </c>
      <c r="D88" s="6">
        <f t="shared" ca="1" si="5"/>
        <v>105.15700985601376</v>
      </c>
      <c r="E88" s="6">
        <f t="shared" ca="1" si="5"/>
        <v>105.13922737006145</v>
      </c>
      <c r="F88" s="6">
        <f t="shared" ca="1" si="5"/>
        <v>105.29724217961312</v>
      </c>
      <c r="G88" s="6">
        <f t="shared" ca="1" si="5"/>
        <v>105.6110825648727</v>
      </c>
      <c r="H88" s="6">
        <f t="shared" ca="1" si="5"/>
        <v>105.99102465683355</v>
      </c>
      <c r="I88" s="6">
        <f t="shared" ca="1" si="5"/>
        <v>104.33558436501136</v>
      </c>
      <c r="J88" s="6">
        <f t="shared" ca="1" si="5"/>
        <v>104.9351913787151</v>
      </c>
      <c r="K88" s="6">
        <f t="shared" ca="1" si="5"/>
        <v>105.71693033233868</v>
      </c>
      <c r="L88" s="6">
        <f t="shared" ca="1" si="5"/>
        <v>105.71726108683893</v>
      </c>
      <c r="M88" s="6">
        <f t="shared" ca="1" si="5"/>
        <v>105.18502139491987</v>
      </c>
      <c r="N88" s="6">
        <f t="shared" ca="1" si="5"/>
        <v>104.93249954804087</v>
      </c>
    </row>
    <row r="89" spans="1:14" hidden="1">
      <c r="A89" t="s">
        <v>199</v>
      </c>
      <c r="B89">
        <f t="shared" si="7"/>
        <v>100</v>
      </c>
      <c r="C89" s="6">
        <f t="shared" ca="1" si="6"/>
        <v>105.05941244049694</v>
      </c>
      <c r="D89" s="6">
        <f t="shared" ca="1" si="5"/>
        <v>105.05725002965039</v>
      </c>
      <c r="E89" s="6">
        <f t="shared" ca="1" si="5"/>
        <v>105.15686688449323</v>
      </c>
      <c r="F89" s="6">
        <f t="shared" ca="1" si="5"/>
        <v>105.06750386844334</v>
      </c>
      <c r="G89" s="6">
        <f t="shared" ca="1" si="5"/>
        <v>105.04795289722945</v>
      </c>
      <c r="H89" s="6">
        <f t="shared" ref="D89:N111" ca="1" si="8">$B89+$B89*$B$6*$B$7*EXP($B$3*($B$2-$B$7)*H$9+$B$4*NORMSINV(RAND())*SQRT(H$9))</f>
        <v>104.98397734186072</v>
      </c>
      <c r="I89" s="6">
        <f t="shared" ca="1" si="8"/>
        <v>104.31126747780991</v>
      </c>
      <c r="J89" s="6">
        <f t="shared" ca="1" si="8"/>
        <v>105.41412670720865</v>
      </c>
      <c r="K89" s="6">
        <f t="shared" ca="1" si="8"/>
        <v>104.98052450631781</v>
      </c>
      <c r="L89" s="6">
        <f t="shared" ca="1" si="8"/>
        <v>104.82639109190016</v>
      </c>
      <c r="M89" s="6">
        <f t="shared" ca="1" si="8"/>
        <v>105.10116912132293</v>
      </c>
      <c r="N89" s="6">
        <f t="shared" ca="1" si="8"/>
        <v>106.05045925361389</v>
      </c>
    </row>
    <row r="90" spans="1:14" hidden="1">
      <c r="A90" t="s">
        <v>200</v>
      </c>
      <c r="B90">
        <f t="shared" si="7"/>
        <v>100</v>
      </c>
      <c r="C90" s="6">
        <f t="shared" ca="1" si="6"/>
        <v>105.07792027581438</v>
      </c>
      <c r="D90" s="6">
        <f t="shared" ca="1" si="8"/>
        <v>105.48333519873601</v>
      </c>
      <c r="E90" s="6">
        <f t="shared" ca="1" si="8"/>
        <v>105.25142279335627</v>
      </c>
      <c r="F90" s="6">
        <f t="shared" ca="1" si="8"/>
        <v>104.95366391192496</v>
      </c>
      <c r="G90" s="6">
        <f t="shared" ca="1" si="8"/>
        <v>104.68886023932072</v>
      </c>
      <c r="H90" s="6">
        <f t="shared" ca="1" si="8"/>
        <v>104.62041539713941</v>
      </c>
      <c r="I90" s="6">
        <f t="shared" ca="1" si="8"/>
        <v>105.32315509596174</v>
      </c>
      <c r="J90" s="6">
        <f t="shared" ca="1" si="8"/>
        <v>104.49577579677086</v>
      </c>
      <c r="K90" s="6">
        <f t="shared" ca="1" si="8"/>
        <v>104.75398803257193</v>
      </c>
      <c r="L90" s="6">
        <f t="shared" ca="1" si="8"/>
        <v>104.88627372349224</v>
      </c>
      <c r="M90" s="6">
        <f t="shared" ca="1" si="8"/>
        <v>105.31916122480339</v>
      </c>
      <c r="N90" s="6">
        <f t="shared" ca="1" si="8"/>
        <v>104.97057971170838</v>
      </c>
    </row>
    <row r="91" spans="1:14" hidden="1">
      <c r="A91" t="s">
        <v>201</v>
      </c>
      <c r="B91">
        <f t="shared" si="7"/>
        <v>100</v>
      </c>
      <c r="C91" s="6">
        <f t="shared" ca="1" si="6"/>
        <v>104.81546067449865</v>
      </c>
      <c r="D91" s="6">
        <f t="shared" ca="1" si="8"/>
        <v>105.12163085946865</v>
      </c>
      <c r="E91" s="6">
        <f t="shared" ca="1" si="8"/>
        <v>104.70420098437128</v>
      </c>
      <c r="F91" s="6">
        <f t="shared" ca="1" si="8"/>
        <v>105.35304060987369</v>
      </c>
      <c r="G91" s="6">
        <f t="shared" ca="1" si="8"/>
        <v>104.53804264692442</v>
      </c>
      <c r="H91" s="6">
        <f t="shared" ca="1" si="8"/>
        <v>105.20264067012069</v>
      </c>
      <c r="I91" s="6">
        <f t="shared" ca="1" si="8"/>
        <v>105.19383100361885</v>
      </c>
      <c r="J91" s="6">
        <f t="shared" ca="1" si="8"/>
        <v>104.46527857362058</v>
      </c>
      <c r="K91" s="6">
        <f t="shared" ca="1" si="8"/>
        <v>105.56264392742004</v>
      </c>
      <c r="L91" s="6">
        <f t="shared" ca="1" si="8"/>
        <v>104.51986653237958</v>
      </c>
      <c r="M91" s="6">
        <f t="shared" ca="1" si="8"/>
        <v>104.76541902736142</v>
      </c>
      <c r="N91" s="6">
        <f t="shared" ca="1" si="8"/>
        <v>104.60341844286566</v>
      </c>
    </row>
    <row r="92" spans="1:14" hidden="1">
      <c r="A92" t="s">
        <v>202</v>
      </c>
      <c r="B92">
        <f t="shared" si="7"/>
        <v>100</v>
      </c>
      <c r="C92" s="6">
        <f t="shared" ca="1" si="6"/>
        <v>105.04693494412284</v>
      </c>
      <c r="D92" s="6">
        <f t="shared" ca="1" si="8"/>
        <v>105.04394834433231</v>
      </c>
      <c r="E92" s="6">
        <f t="shared" ca="1" si="8"/>
        <v>105.54876769317504</v>
      </c>
      <c r="F92" s="6">
        <f t="shared" ca="1" si="8"/>
        <v>105.38422531531401</v>
      </c>
      <c r="G92" s="6">
        <f t="shared" ca="1" si="8"/>
        <v>104.59856903682767</v>
      </c>
      <c r="H92" s="6">
        <f t="shared" ca="1" si="8"/>
        <v>104.66311758311579</v>
      </c>
      <c r="I92" s="6">
        <f t="shared" ca="1" si="8"/>
        <v>105.72091299159759</v>
      </c>
      <c r="J92" s="6">
        <f t="shared" ca="1" si="8"/>
        <v>104.66129643170521</v>
      </c>
      <c r="K92" s="6">
        <f t="shared" ca="1" si="8"/>
        <v>105.07150310064556</v>
      </c>
      <c r="L92" s="6">
        <f t="shared" ca="1" si="8"/>
        <v>104.6223064521626</v>
      </c>
      <c r="M92" s="6">
        <f t="shared" ca="1" si="8"/>
        <v>104.26207440552122</v>
      </c>
      <c r="N92" s="6">
        <f t="shared" ca="1" si="8"/>
        <v>104.84971476103973</v>
      </c>
    </row>
    <row r="93" spans="1:14" hidden="1">
      <c r="A93" t="s">
        <v>203</v>
      </c>
      <c r="B93">
        <f t="shared" si="7"/>
        <v>100</v>
      </c>
      <c r="C93" s="6">
        <f t="shared" ca="1" si="6"/>
        <v>104.9449517975148</v>
      </c>
      <c r="D93" s="6">
        <f t="shared" ca="1" si="8"/>
        <v>104.9061234433441</v>
      </c>
      <c r="E93" s="6">
        <f t="shared" ca="1" si="8"/>
        <v>105.09444088590764</v>
      </c>
      <c r="F93" s="6">
        <f t="shared" ca="1" si="8"/>
        <v>104.94795152769468</v>
      </c>
      <c r="G93" s="6">
        <f t="shared" ca="1" si="8"/>
        <v>104.93444643811942</v>
      </c>
      <c r="H93" s="6">
        <f t="shared" ca="1" si="8"/>
        <v>105.19309129410068</v>
      </c>
      <c r="I93" s="6">
        <f t="shared" ca="1" si="8"/>
        <v>104.78263462613022</v>
      </c>
      <c r="J93" s="6">
        <f t="shared" ca="1" si="8"/>
        <v>104.74114164800405</v>
      </c>
      <c r="K93" s="6">
        <f t="shared" ca="1" si="8"/>
        <v>105.70658681166566</v>
      </c>
      <c r="L93" s="6">
        <f t="shared" ca="1" si="8"/>
        <v>105.07334659161802</v>
      </c>
      <c r="M93" s="6">
        <f t="shared" ca="1" si="8"/>
        <v>104.80680265922652</v>
      </c>
      <c r="N93" s="6">
        <f t="shared" ca="1" si="8"/>
        <v>105.03350287932531</v>
      </c>
    </row>
    <row r="94" spans="1:14" hidden="1">
      <c r="A94" t="s">
        <v>204</v>
      </c>
      <c r="B94">
        <f t="shared" si="7"/>
        <v>100</v>
      </c>
      <c r="C94" s="6">
        <f t="shared" ca="1" si="6"/>
        <v>104.93761426863037</v>
      </c>
      <c r="D94" s="6">
        <f t="shared" ca="1" si="8"/>
        <v>105.22129157082284</v>
      </c>
      <c r="E94" s="6">
        <f t="shared" ca="1" si="8"/>
        <v>105.26846297683529</v>
      </c>
      <c r="F94" s="6">
        <f t="shared" ca="1" si="8"/>
        <v>104.83052623338614</v>
      </c>
      <c r="G94" s="6">
        <f t="shared" ca="1" si="8"/>
        <v>105.05804493608376</v>
      </c>
      <c r="H94" s="6">
        <f t="shared" ca="1" si="8"/>
        <v>105.00926589122945</v>
      </c>
      <c r="I94" s="6">
        <f t="shared" ca="1" si="8"/>
        <v>104.71875182736436</v>
      </c>
      <c r="J94" s="6">
        <f t="shared" ca="1" si="8"/>
        <v>104.44733709279076</v>
      </c>
      <c r="K94" s="6">
        <f t="shared" ca="1" si="8"/>
        <v>105.76193074504914</v>
      </c>
      <c r="L94" s="6">
        <f t="shared" ca="1" si="8"/>
        <v>105.23567808180057</v>
      </c>
      <c r="M94" s="6">
        <f t="shared" ca="1" si="8"/>
        <v>105.29287379574065</v>
      </c>
      <c r="N94" s="6">
        <f t="shared" ca="1" si="8"/>
        <v>103.78246272076429</v>
      </c>
    </row>
    <row r="95" spans="1:14" hidden="1">
      <c r="A95" t="s">
        <v>205</v>
      </c>
      <c r="B95">
        <f t="shared" si="7"/>
        <v>100</v>
      </c>
      <c r="C95" s="6">
        <f t="shared" ca="1" si="6"/>
        <v>105.08995089201595</v>
      </c>
      <c r="D95" s="6">
        <f t="shared" ca="1" si="8"/>
        <v>104.74213341336929</v>
      </c>
      <c r="E95" s="6">
        <f t="shared" ca="1" si="8"/>
        <v>104.90460699151498</v>
      </c>
      <c r="F95" s="6">
        <f t="shared" ca="1" si="8"/>
        <v>105.03227939326663</v>
      </c>
      <c r="G95" s="6">
        <f t="shared" ca="1" si="8"/>
        <v>104.82224805039814</v>
      </c>
      <c r="H95" s="6">
        <f t="shared" ca="1" si="8"/>
        <v>104.92776248753982</v>
      </c>
      <c r="I95" s="6">
        <f t="shared" ca="1" si="8"/>
        <v>105.0282167351499</v>
      </c>
      <c r="J95" s="6">
        <f t="shared" ca="1" si="8"/>
        <v>104.94579818933698</v>
      </c>
      <c r="K95" s="6">
        <f t="shared" ca="1" si="8"/>
        <v>105.43106454496174</v>
      </c>
      <c r="L95" s="6">
        <f t="shared" ca="1" si="8"/>
        <v>104.82860512733447</v>
      </c>
      <c r="M95" s="6">
        <f t="shared" ca="1" si="8"/>
        <v>104.92491878658892</v>
      </c>
      <c r="N95" s="6">
        <f t="shared" ca="1" si="8"/>
        <v>105.26406116970885</v>
      </c>
    </row>
    <row r="96" spans="1:14" hidden="1">
      <c r="A96" t="s">
        <v>206</v>
      </c>
      <c r="B96">
        <f t="shared" si="7"/>
        <v>100</v>
      </c>
      <c r="C96" s="6">
        <f t="shared" ca="1" si="6"/>
        <v>104.95999804254431</v>
      </c>
      <c r="D96" s="6">
        <f t="shared" ca="1" si="8"/>
        <v>105.14338858545356</v>
      </c>
      <c r="E96" s="6">
        <f t="shared" ca="1" si="8"/>
        <v>105.23234313301603</v>
      </c>
      <c r="F96" s="6">
        <f t="shared" ca="1" si="8"/>
        <v>105.06660256458821</v>
      </c>
      <c r="G96" s="6">
        <f t="shared" ca="1" si="8"/>
        <v>104.94910444281692</v>
      </c>
      <c r="H96" s="6">
        <f t="shared" ca="1" si="8"/>
        <v>105.16318988848538</v>
      </c>
      <c r="I96" s="6">
        <f t="shared" ca="1" si="8"/>
        <v>105.51918806450648</v>
      </c>
      <c r="J96" s="6">
        <f t="shared" ca="1" si="8"/>
        <v>104.52631300992013</v>
      </c>
      <c r="K96" s="6">
        <f t="shared" ca="1" si="8"/>
        <v>105.25366199254279</v>
      </c>
      <c r="L96" s="6">
        <f t="shared" ca="1" si="8"/>
        <v>104.87976550157575</v>
      </c>
      <c r="M96" s="6">
        <f t="shared" ca="1" si="8"/>
        <v>104.45590420436631</v>
      </c>
      <c r="N96" s="6">
        <f t="shared" ca="1" si="8"/>
        <v>104.78974062902419</v>
      </c>
    </row>
    <row r="97" spans="1:14" hidden="1">
      <c r="A97" t="s">
        <v>207</v>
      </c>
      <c r="B97">
        <f t="shared" si="7"/>
        <v>100</v>
      </c>
      <c r="C97" s="6">
        <f t="shared" ca="1" si="6"/>
        <v>104.98727926216166</v>
      </c>
      <c r="D97" s="6">
        <f t="shared" ca="1" si="8"/>
        <v>104.90008216183421</v>
      </c>
      <c r="E97" s="6">
        <f t="shared" ca="1" si="8"/>
        <v>105.34116498023023</v>
      </c>
      <c r="F97" s="6">
        <f t="shared" ca="1" si="8"/>
        <v>105.4203024057156</v>
      </c>
      <c r="G97" s="6">
        <f t="shared" ca="1" si="8"/>
        <v>104.89241124086854</v>
      </c>
      <c r="H97" s="6">
        <f t="shared" ca="1" si="8"/>
        <v>105.10844885748259</v>
      </c>
      <c r="I97" s="6">
        <f t="shared" ca="1" si="8"/>
        <v>104.77894483835425</v>
      </c>
      <c r="J97" s="6">
        <f t="shared" ca="1" si="8"/>
        <v>105.39548989479002</v>
      </c>
      <c r="K97" s="6">
        <f t="shared" ca="1" si="8"/>
        <v>106.01023580740382</v>
      </c>
      <c r="L97" s="6">
        <f t="shared" ca="1" si="8"/>
        <v>104.89634046365593</v>
      </c>
      <c r="M97" s="6">
        <f t="shared" ca="1" si="8"/>
        <v>104.77435670939624</v>
      </c>
      <c r="N97" s="6">
        <f t="shared" ca="1" si="8"/>
        <v>105.17021293993166</v>
      </c>
    </row>
    <row r="98" spans="1:14" hidden="1">
      <c r="A98" t="s">
        <v>208</v>
      </c>
      <c r="B98">
        <f t="shared" si="7"/>
        <v>100</v>
      </c>
      <c r="C98" s="6">
        <f t="shared" ca="1" si="6"/>
        <v>105.14156282965696</v>
      </c>
      <c r="D98" s="6">
        <f t="shared" ca="1" si="8"/>
        <v>105.14739492594305</v>
      </c>
      <c r="E98" s="6">
        <f t="shared" ca="1" si="8"/>
        <v>105.357491927167</v>
      </c>
      <c r="F98" s="6">
        <f t="shared" ca="1" si="8"/>
        <v>104.75043784326984</v>
      </c>
      <c r="G98" s="6">
        <f t="shared" ca="1" si="8"/>
        <v>105.1213877878447</v>
      </c>
      <c r="H98" s="6">
        <f t="shared" ca="1" si="8"/>
        <v>104.82117593542208</v>
      </c>
      <c r="I98" s="6">
        <f t="shared" ca="1" si="8"/>
        <v>105.71733637864581</v>
      </c>
      <c r="J98" s="6">
        <f t="shared" ca="1" si="8"/>
        <v>104.37448260001472</v>
      </c>
      <c r="K98" s="6">
        <f t="shared" ca="1" si="8"/>
        <v>105.41644021074517</v>
      </c>
      <c r="L98" s="6">
        <f t="shared" ca="1" si="8"/>
        <v>104.92444016199435</v>
      </c>
      <c r="M98" s="6">
        <f t="shared" ca="1" si="8"/>
        <v>104.991708061304</v>
      </c>
      <c r="N98" s="6">
        <f t="shared" ca="1" si="8"/>
        <v>104.43453198588696</v>
      </c>
    </row>
    <row r="99" spans="1:14" hidden="1">
      <c r="A99" t="s">
        <v>209</v>
      </c>
      <c r="B99">
        <f t="shared" si="7"/>
        <v>100</v>
      </c>
      <c r="C99" s="6">
        <f t="shared" ca="1" si="6"/>
        <v>104.81147671592862</v>
      </c>
      <c r="D99" s="6">
        <f t="shared" ca="1" si="8"/>
        <v>104.77417065942743</v>
      </c>
      <c r="E99" s="6">
        <f t="shared" ca="1" si="8"/>
        <v>105.22620629294282</v>
      </c>
      <c r="F99" s="6">
        <f t="shared" ca="1" si="8"/>
        <v>105.20023269076563</v>
      </c>
      <c r="G99" s="6">
        <f t="shared" ca="1" si="8"/>
        <v>104.51994364512527</v>
      </c>
      <c r="H99" s="6">
        <f t="shared" ca="1" si="8"/>
        <v>105.08767133886958</v>
      </c>
      <c r="I99" s="6">
        <f t="shared" ca="1" si="8"/>
        <v>104.46277516341159</v>
      </c>
      <c r="J99" s="6">
        <f t="shared" ca="1" si="8"/>
        <v>104.26281397383602</v>
      </c>
      <c r="K99" s="6">
        <f t="shared" ca="1" si="8"/>
        <v>104.90995321711132</v>
      </c>
      <c r="L99" s="6">
        <f t="shared" ca="1" si="8"/>
        <v>104.72959587828095</v>
      </c>
      <c r="M99" s="6">
        <f t="shared" ca="1" si="8"/>
        <v>104.2827423141986</v>
      </c>
      <c r="N99" s="6">
        <f t="shared" ca="1" si="8"/>
        <v>105.08035853222444</v>
      </c>
    </row>
    <row r="100" spans="1:14" hidden="1">
      <c r="A100" t="s">
        <v>210</v>
      </c>
      <c r="B100">
        <f t="shared" si="7"/>
        <v>100</v>
      </c>
      <c r="C100" s="6">
        <f t="shared" ca="1" si="6"/>
        <v>104.91947312196534</v>
      </c>
      <c r="D100" s="6">
        <f t="shared" ca="1" si="8"/>
        <v>105.35323300430986</v>
      </c>
      <c r="E100" s="6">
        <f t="shared" ca="1" si="8"/>
        <v>105.22163336915585</v>
      </c>
      <c r="F100" s="6">
        <f t="shared" ca="1" si="8"/>
        <v>105.33381460099743</v>
      </c>
      <c r="G100" s="6">
        <f t="shared" ca="1" si="8"/>
        <v>104.97448208145727</v>
      </c>
      <c r="H100" s="6">
        <f t="shared" ca="1" si="8"/>
        <v>105.53533551916466</v>
      </c>
      <c r="I100" s="6">
        <f t="shared" ca="1" si="8"/>
        <v>105.02715912433811</v>
      </c>
      <c r="J100" s="6">
        <f t="shared" ca="1" si="8"/>
        <v>104.90329142518404</v>
      </c>
      <c r="K100" s="6">
        <f t="shared" ca="1" si="8"/>
        <v>104.83526755761157</v>
      </c>
      <c r="L100" s="6">
        <f t="shared" ca="1" si="8"/>
        <v>105.68296279181035</v>
      </c>
      <c r="M100" s="6">
        <f t="shared" ca="1" si="8"/>
        <v>105.05108663356634</v>
      </c>
      <c r="N100" s="6">
        <f t="shared" ca="1" si="8"/>
        <v>105.39871539522095</v>
      </c>
    </row>
    <row r="101" spans="1:14" hidden="1">
      <c r="A101" t="s">
        <v>211</v>
      </c>
      <c r="B101">
        <f t="shared" si="7"/>
        <v>100</v>
      </c>
      <c r="C101" s="6">
        <f t="shared" ca="1" si="6"/>
        <v>105.02531435607628</v>
      </c>
      <c r="D101" s="6">
        <f t="shared" ca="1" si="8"/>
        <v>104.69173004608433</v>
      </c>
      <c r="E101" s="6">
        <f t="shared" ca="1" si="8"/>
        <v>105.06962433896699</v>
      </c>
      <c r="F101" s="6">
        <f t="shared" ca="1" si="8"/>
        <v>105.18562031719713</v>
      </c>
      <c r="G101" s="6">
        <f t="shared" ca="1" si="8"/>
        <v>104.79149977200915</v>
      </c>
      <c r="H101" s="6">
        <f t="shared" ca="1" si="8"/>
        <v>105.26517881334287</v>
      </c>
      <c r="I101" s="6">
        <f t="shared" ca="1" si="8"/>
        <v>105.56736937947923</v>
      </c>
      <c r="J101" s="6">
        <f t="shared" ca="1" si="8"/>
        <v>104.832305242362</v>
      </c>
      <c r="K101" s="6">
        <f t="shared" ca="1" si="8"/>
        <v>104.97303082128965</v>
      </c>
      <c r="L101" s="6">
        <f t="shared" ca="1" si="8"/>
        <v>105.16499767373497</v>
      </c>
      <c r="M101" s="6">
        <f t="shared" ca="1" si="8"/>
        <v>104.86982156831665</v>
      </c>
      <c r="N101" s="6">
        <f t="shared" ca="1" si="8"/>
        <v>104.69525712551581</v>
      </c>
    </row>
    <row r="102" spans="1:14" hidden="1">
      <c r="A102" t="s">
        <v>212</v>
      </c>
      <c r="B102">
        <f t="shared" si="7"/>
        <v>100</v>
      </c>
      <c r="C102" s="6">
        <f t="shared" ca="1" si="6"/>
        <v>105.16042126090055</v>
      </c>
      <c r="D102" s="6">
        <f t="shared" ca="1" si="8"/>
        <v>105.03991231320865</v>
      </c>
      <c r="E102" s="6">
        <f t="shared" ca="1" si="8"/>
        <v>105.1177349113139</v>
      </c>
      <c r="F102" s="6">
        <f t="shared" ca="1" si="8"/>
        <v>105.47207456752584</v>
      </c>
      <c r="G102" s="6">
        <f t="shared" ca="1" si="8"/>
        <v>104.64475405573707</v>
      </c>
      <c r="H102" s="6">
        <f t="shared" ca="1" si="8"/>
        <v>105.42476060782657</v>
      </c>
      <c r="I102" s="6">
        <f t="shared" ca="1" si="8"/>
        <v>105.22836750849063</v>
      </c>
      <c r="J102" s="6">
        <f t="shared" ca="1" si="8"/>
        <v>105.47875412918629</v>
      </c>
      <c r="K102" s="6">
        <f t="shared" ca="1" si="8"/>
        <v>104.9468416231896</v>
      </c>
      <c r="L102" s="6">
        <f t="shared" ca="1" si="8"/>
        <v>105.0718341728841</v>
      </c>
      <c r="M102" s="6">
        <f t="shared" ca="1" si="8"/>
        <v>105.8499886826919</v>
      </c>
      <c r="N102" s="6">
        <f t="shared" ca="1" si="8"/>
        <v>105.03486763711028</v>
      </c>
    </row>
    <row r="103" spans="1:14" hidden="1">
      <c r="A103" t="s">
        <v>213</v>
      </c>
      <c r="B103">
        <f t="shared" si="7"/>
        <v>100</v>
      </c>
      <c r="C103" s="6">
        <f t="shared" ca="1" si="6"/>
        <v>105.15884301108757</v>
      </c>
      <c r="D103" s="6">
        <f t="shared" ca="1" si="8"/>
        <v>105.39769287059853</v>
      </c>
      <c r="E103" s="6">
        <f t="shared" ca="1" si="8"/>
        <v>104.84885241424075</v>
      </c>
      <c r="F103" s="6">
        <f t="shared" ca="1" si="8"/>
        <v>105.07786563727448</v>
      </c>
      <c r="G103" s="6">
        <f t="shared" ca="1" si="8"/>
        <v>105.57905856249607</v>
      </c>
      <c r="H103" s="6">
        <f t="shared" ca="1" si="8"/>
        <v>105.52062693491922</v>
      </c>
      <c r="I103" s="6">
        <f t="shared" ca="1" si="8"/>
        <v>105.55596573364463</v>
      </c>
      <c r="J103" s="6">
        <f t="shared" ca="1" si="8"/>
        <v>105.25614351292309</v>
      </c>
      <c r="K103" s="6">
        <f t="shared" ca="1" si="8"/>
        <v>104.85191136153691</v>
      </c>
      <c r="L103" s="6">
        <f t="shared" ca="1" si="8"/>
        <v>105.43972295495419</v>
      </c>
      <c r="M103" s="6">
        <f t="shared" ca="1" si="8"/>
        <v>104.5675613311369</v>
      </c>
      <c r="N103" s="6">
        <f t="shared" ca="1" si="8"/>
        <v>105.13871951645329</v>
      </c>
    </row>
    <row r="104" spans="1:14" hidden="1">
      <c r="A104" t="s">
        <v>214</v>
      </c>
      <c r="B104">
        <f t="shared" si="7"/>
        <v>100</v>
      </c>
      <c r="C104" s="6">
        <f t="shared" ca="1" si="6"/>
        <v>104.90098397519459</v>
      </c>
      <c r="D104" s="6">
        <f t="shared" ca="1" si="8"/>
        <v>105.01286737844046</v>
      </c>
      <c r="E104" s="6">
        <f t="shared" ca="1" si="8"/>
        <v>104.88306973293437</v>
      </c>
      <c r="F104" s="6">
        <f t="shared" ca="1" si="8"/>
        <v>104.7762799782863</v>
      </c>
      <c r="G104" s="6">
        <f t="shared" ca="1" si="8"/>
        <v>105.09312369584278</v>
      </c>
      <c r="H104" s="6">
        <f t="shared" ca="1" si="8"/>
        <v>104.90904628733644</v>
      </c>
      <c r="I104" s="6">
        <f t="shared" ca="1" si="8"/>
        <v>105.69608757617446</v>
      </c>
      <c r="J104" s="6">
        <f t="shared" ca="1" si="8"/>
        <v>105.38024131334218</v>
      </c>
      <c r="K104" s="6">
        <f t="shared" ca="1" si="8"/>
        <v>104.89131874292617</v>
      </c>
      <c r="L104" s="6">
        <f t="shared" ca="1" si="8"/>
        <v>104.71207511879852</v>
      </c>
      <c r="M104" s="6">
        <f t="shared" ca="1" si="8"/>
        <v>105.34855118960051</v>
      </c>
      <c r="N104" s="6">
        <f t="shared" ca="1" si="8"/>
        <v>104.85228617145589</v>
      </c>
    </row>
    <row r="105" spans="1:14" hidden="1">
      <c r="A105" t="s">
        <v>215</v>
      </c>
      <c r="B105">
        <f t="shared" si="7"/>
        <v>100</v>
      </c>
      <c r="C105" s="6">
        <f t="shared" ca="1" si="6"/>
        <v>104.94399851321619</v>
      </c>
      <c r="D105" s="6">
        <f t="shared" ca="1" si="8"/>
        <v>105.27319372996531</v>
      </c>
      <c r="E105" s="6">
        <f t="shared" ca="1" si="8"/>
        <v>105.00101073473691</v>
      </c>
      <c r="F105" s="6">
        <f t="shared" ca="1" si="8"/>
        <v>105.99237803378632</v>
      </c>
      <c r="G105" s="6">
        <f t="shared" ca="1" si="8"/>
        <v>104.5580700679625</v>
      </c>
      <c r="H105" s="6">
        <f t="shared" ca="1" si="8"/>
        <v>105.56139072116025</v>
      </c>
      <c r="I105" s="6">
        <f t="shared" ca="1" si="8"/>
        <v>104.79111147907075</v>
      </c>
      <c r="J105" s="6">
        <f t="shared" ca="1" si="8"/>
        <v>105.03520272491691</v>
      </c>
      <c r="K105" s="6">
        <f t="shared" ca="1" si="8"/>
        <v>104.50411827430743</v>
      </c>
      <c r="L105" s="6">
        <f t="shared" ca="1" si="8"/>
        <v>104.87752185829883</v>
      </c>
      <c r="M105" s="6">
        <f t="shared" ca="1" si="8"/>
        <v>105.01172363714807</v>
      </c>
      <c r="N105" s="6">
        <f t="shared" ca="1" si="8"/>
        <v>104.53456849410998</v>
      </c>
    </row>
    <row r="106" spans="1:14" hidden="1">
      <c r="A106" t="s">
        <v>216</v>
      </c>
      <c r="B106">
        <f t="shared" si="7"/>
        <v>100</v>
      </c>
      <c r="C106" s="6">
        <f t="shared" ca="1" si="6"/>
        <v>104.80717467123176</v>
      </c>
      <c r="D106" s="6">
        <f t="shared" ca="1" si="8"/>
        <v>105.20942099907265</v>
      </c>
      <c r="E106" s="6">
        <f t="shared" ca="1" si="8"/>
        <v>105.18199009300898</v>
      </c>
      <c r="F106" s="6">
        <f t="shared" ca="1" si="8"/>
        <v>104.68707584442654</v>
      </c>
      <c r="G106" s="6">
        <f t="shared" ca="1" si="8"/>
        <v>105.23188336017972</v>
      </c>
      <c r="H106" s="6">
        <f t="shared" ca="1" si="8"/>
        <v>105.02184203095638</v>
      </c>
      <c r="I106" s="6">
        <f t="shared" ca="1" si="8"/>
        <v>105.07661936285415</v>
      </c>
      <c r="J106" s="6">
        <f t="shared" ca="1" si="8"/>
        <v>106.10048068223438</v>
      </c>
      <c r="K106" s="6">
        <f t="shared" ca="1" si="8"/>
        <v>104.91766005390963</v>
      </c>
      <c r="L106" s="6">
        <f t="shared" ca="1" si="8"/>
        <v>104.98026968462041</v>
      </c>
      <c r="M106" s="6">
        <f t="shared" ca="1" si="8"/>
        <v>105.78956855438025</v>
      </c>
      <c r="N106" s="6">
        <f t="shared" ca="1" si="8"/>
        <v>106.53470859490577</v>
      </c>
    </row>
    <row r="107" spans="1:14" hidden="1">
      <c r="A107" t="s">
        <v>217</v>
      </c>
      <c r="B107">
        <f t="shared" si="7"/>
        <v>100</v>
      </c>
      <c r="C107" s="6">
        <f t="shared" ca="1" si="6"/>
        <v>105.14920110000995</v>
      </c>
      <c r="D107" s="6">
        <f t="shared" ca="1" si="8"/>
        <v>105.19063333497904</v>
      </c>
      <c r="E107" s="6">
        <f t="shared" ca="1" si="8"/>
        <v>105.03400911997448</v>
      </c>
      <c r="F107" s="6">
        <f t="shared" ca="1" si="8"/>
        <v>104.80213977189686</v>
      </c>
      <c r="G107" s="6">
        <f t="shared" ca="1" si="8"/>
        <v>105.4595328322428</v>
      </c>
      <c r="H107" s="6">
        <f t="shared" ca="1" si="8"/>
        <v>104.69626322564581</v>
      </c>
      <c r="I107" s="6">
        <f t="shared" ca="1" si="8"/>
        <v>105.48145497723675</v>
      </c>
      <c r="J107" s="6">
        <f t="shared" ca="1" si="8"/>
        <v>105.14428478833825</v>
      </c>
      <c r="K107" s="6">
        <f t="shared" ca="1" si="8"/>
        <v>105.46530633727127</v>
      </c>
      <c r="L107" s="6">
        <f t="shared" ca="1" si="8"/>
        <v>104.67525942929134</v>
      </c>
      <c r="M107" s="6">
        <f t="shared" ca="1" si="8"/>
        <v>105.07845103622564</v>
      </c>
      <c r="N107" s="6">
        <f t="shared" ca="1" si="8"/>
        <v>105.54736564412076</v>
      </c>
    </row>
    <row r="108" spans="1:14" hidden="1">
      <c r="A108" t="s">
        <v>218</v>
      </c>
      <c r="B108">
        <f t="shared" si="7"/>
        <v>100</v>
      </c>
      <c r="C108" s="6">
        <f t="shared" ca="1" si="6"/>
        <v>105.08592133917223</v>
      </c>
      <c r="D108" s="6">
        <f t="shared" ca="1" si="8"/>
        <v>105.29994035528576</v>
      </c>
      <c r="E108" s="6">
        <f t="shared" ca="1" si="8"/>
        <v>105.14334872999325</v>
      </c>
      <c r="F108" s="6">
        <f t="shared" ca="1" si="8"/>
        <v>105.11644476166845</v>
      </c>
      <c r="G108" s="6">
        <f t="shared" ca="1" si="8"/>
        <v>105.35060785144498</v>
      </c>
      <c r="H108" s="6">
        <f t="shared" ca="1" si="8"/>
        <v>105.76699812941531</v>
      </c>
      <c r="I108" s="6">
        <f t="shared" ca="1" si="8"/>
        <v>104.58770482910241</v>
      </c>
      <c r="J108" s="6">
        <f t="shared" ca="1" si="8"/>
        <v>103.98898090826225</v>
      </c>
      <c r="K108" s="6">
        <f t="shared" ca="1" si="8"/>
        <v>106.20794097444593</v>
      </c>
      <c r="L108" s="6">
        <f t="shared" ca="1" si="8"/>
        <v>105.43150537832584</v>
      </c>
      <c r="M108" s="6">
        <f t="shared" ca="1" si="8"/>
        <v>106.12593607814297</v>
      </c>
      <c r="N108" s="6">
        <f t="shared" ca="1" si="8"/>
        <v>105.5049153995175</v>
      </c>
    </row>
    <row r="109" spans="1:14" hidden="1">
      <c r="A109" t="s">
        <v>219</v>
      </c>
      <c r="B109">
        <f t="shared" si="7"/>
        <v>100</v>
      </c>
      <c r="C109" s="6">
        <f t="shared" ca="1" si="6"/>
        <v>105.23135876789016</v>
      </c>
      <c r="D109" s="6">
        <f t="shared" ca="1" si="8"/>
        <v>105.15845451532459</v>
      </c>
      <c r="E109" s="6">
        <f t="shared" ca="1" si="8"/>
        <v>105.29527083520189</v>
      </c>
      <c r="F109" s="6">
        <f t="shared" ca="1" si="8"/>
        <v>104.96938187805947</v>
      </c>
      <c r="G109" s="6">
        <f t="shared" ca="1" si="8"/>
        <v>105.29154482041501</v>
      </c>
      <c r="H109" s="6">
        <f t="shared" ca="1" si="8"/>
        <v>105.07323539389117</v>
      </c>
      <c r="I109" s="6">
        <f t="shared" ca="1" si="8"/>
        <v>106.1284368481092</v>
      </c>
      <c r="J109" s="6">
        <f t="shared" ca="1" si="8"/>
        <v>104.40043844154553</v>
      </c>
      <c r="K109" s="6">
        <f t="shared" ca="1" si="8"/>
        <v>105.36354345101469</v>
      </c>
      <c r="L109" s="6">
        <f t="shared" ca="1" si="8"/>
        <v>104.43917257651</v>
      </c>
      <c r="M109" s="6">
        <f t="shared" ca="1" si="8"/>
        <v>105.22546625896183</v>
      </c>
      <c r="N109" s="6">
        <f t="shared" ca="1" si="8"/>
        <v>105.45322083857569</v>
      </c>
    </row>
    <row r="110" spans="1:14" hidden="1">
      <c r="A110" t="s">
        <v>220</v>
      </c>
      <c r="B110">
        <f t="shared" si="7"/>
        <v>100</v>
      </c>
      <c r="C110" s="6">
        <f t="shared" ca="1" si="6"/>
        <v>105.12174646251728</v>
      </c>
      <c r="D110" s="6">
        <f t="shared" ca="1" si="8"/>
        <v>105.01130244610002</v>
      </c>
      <c r="E110" s="6">
        <f t="shared" ca="1" si="8"/>
        <v>105.21168382741287</v>
      </c>
      <c r="F110" s="6">
        <f t="shared" ca="1" si="8"/>
        <v>104.78324257758065</v>
      </c>
      <c r="G110" s="6">
        <f t="shared" ca="1" si="8"/>
        <v>105.2996763858244</v>
      </c>
      <c r="H110" s="6">
        <f t="shared" ca="1" si="8"/>
        <v>104.78042967508367</v>
      </c>
      <c r="I110" s="6">
        <f t="shared" ca="1" si="8"/>
        <v>104.76976217427246</v>
      </c>
      <c r="J110" s="6">
        <f t="shared" ca="1" si="8"/>
        <v>105.11632180363114</v>
      </c>
      <c r="K110" s="6">
        <f t="shared" ca="1" si="8"/>
        <v>105.05752134440675</v>
      </c>
      <c r="L110" s="6">
        <f t="shared" ca="1" si="8"/>
        <v>105.13453480927313</v>
      </c>
      <c r="M110" s="6">
        <f t="shared" ca="1" si="8"/>
        <v>105.33011715312162</v>
      </c>
      <c r="N110" s="6">
        <f t="shared" ca="1" si="8"/>
        <v>105.83024111836386</v>
      </c>
    </row>
    <row r="111" spans="1:14" hidden="1">
      <c r="A111" t="s">
        <v>221</v>
      </c>
      <c r="B111">
        <f t="shared" si="7"/>
        <v>100</v>
      </c>
      <c r="C111" s="6">
        <f t="shared" ca="1" si="6"/>
        <v>105.08534691649345</v>
      </c>
      <c r="D111" s="6">
        <f t="shared" ca="1" si="8"/>
        <v>104.80978743385413</v>
      </c>
      <c r="E111" s="6">
        <f t="shared" ca="1" si="8"/>
        <v>105.10237683987127</v>
      </c>
      <c r="F111" s="6">
        <f t="shared" ca="1" si="8"/>
        <v>104.74946299083868</v>
      </c>
      <c r="G111" s="6">
        <f t="shared" ca="1" si="8"/>
        <v>105.26988516149055</v>
      </c>
      <c r="H111" s="6">
        <f t="shared" ca="1" si="8"/>
        <v>105.22670495587798</v>
      </c>
      <c r="I111" s="6">
        <f t="shared" ca="1" si="8"/>
        <v>105.24792988797211</v>
      </c>
      <c r="J111" s="6">
        <f t="shared" ca="1" si="8"/>
        <v>104.68631114532042</v>
      </c>
      <c r="K111" s="6">
        <f t="shared" ca="1" si="8"/>
        <v>105.62936533089001</v>
      </c>
      <c r="L111" s="6">
        <f t="shared" ca="1" si="8"/>
        <v>104.99143281267342</v>
      </c>
      <c r="M111" s="6">
        <f t="shared" ca="1" si="8"/>
        <v>104.65286558363631</v>
      </c>
      <c r="N111" s="6">
        <f t="shared" ca="1" si="8"/>
        <v>104.18806300527817</v>
      </c>
    </row>
    <row r="112" spans="1:14" hidden="1"/>
    <row r="113" spans="1:14" hidden="1">
      <c r="A113" t="s">
        <v>120</v>
      </c>
      <c r="C113">
        <f t="shared" ref="C113:N113" ca="1" si="9">B111-PERCENTILE(C$12:C$111,1%)</f>
        <v>-4.7050776046774985</v>
      </c>
      <c r="D113">
        <f t="shared" ca="1" si="9"/>
        <v>0.43941561430528964</v>
      </c>
      <c r="E113">
        <f t="shared" ca="1" si="9"/>
        <v>0.25492793490518295</v>
      </c>
      <c r="F113">
        <f t="shared" ca="1" si="9"/>
        <v>0.5721356894303824</v>
      </c>
      <c r="G113">
        <f t="shared" ca="1" si="9"/>
        <v>0.30546636743257238</v>
      </c>
      <c r="H113">
        <f t="shared" ca="1" si="9"/>
        <v>0.94842884432536323</v>
      </c>
      <c r="I113">
        <f t="shared" ca="1" si="9"/>
        <v>1.0490534549159634</v>
      </c>
      <c r="J113">
        <f t="shared" ca="1" si="9"/>
        <v>0.98785424479181927</v>
      </c>
      <c r="K113">
        <f t="shared" ca="1" si="9"/>
        <v>0.45330876838367828</v>
      </c>
      <c r="L113">
        <f t="shared" ca="1" si="9"/>
        <v>1.3424140808408964</v>
      </c>
      <c r="M113">
        <f t="shared" ca="1" si="9"/>
        <v>0.73181735589814423</v>
      </c>
      <c r="N113">
        <f t="shared" ca="1" si="9"/>
        <v>0.77910151386788584</v>
      </c>
    </row>
    <row r="115" spans="1:14">
      <c r="A115" t="s">
        <v>227</v>
      </c>
      <c r="B115" s="1">
        <f>$B$7</f>
        <v>2.52E-2</v>
      </c>
      <c r="C115" s="8">
        <f ca="1">B115*EXP($B$3*($B$2-B115)+$B$4*NORMSINV(RAND()))</f>
        <v>2.5559928886427889E-2</v>
      </c>
      <c r="D115" s="8">
        <f t="shared" ref="D115:N115" ca="1" si="10">C115*EXP($B$3*($B$2-C115)+$B$4*NORMSINV(RAND()))</f>
        <v>2.5172398539756946E-2</v>
      </c>
      <c r="E115" s="8">
        <f t="shared" ca="1" si="10"/>
        <v>2.4912769732479592E-2</v>
      </c>
      <c r="F115" s="8">
        <f t="shared" ca="1" si="10"/>
        <v>2.4407238448894142E-2</v>
      </c>
      <c r="G115" s="8">
        <f t="shared" ca="1" si="10"/>
        <v>2.4545250360863264E-2</v>
      </c>
      <c r="H115" s="8">
        <f t="shared" ca="1" si="10"/>
        <v>2.4169023658451711E-2</v>
      </c>
      <c r="I115" s="8">
        <f t="shared" ca="1" si="10"/>
        <v>2.4087311027706206E-2</v>
      </c>
      <c r="J115" s="8">
        <f t="shared" ca="1" si="10"/>
        <v>2.3671366792252214E-2</v>
      </c>
      <c r="K115" s="8">
        <f t="shared" ca="1" si="10"/>
        <v>2.5144075668733046E-2</v>
      </c>
      <c r="L115" s="8">
        <f t="shared" ca="1" si="10"/>
        <v>2.4052228022982299E-2</v>
      </c>
      <c r="M115" s="8">
        <f t="shared" ca="1" si="10"/>
        <v>2.4665569465552137E-2</v>
      </c>
      <c r="N115" s="8">
        <f t="shared" ca="1" si="10"/>
        <v>2.3835460259617858E-2</v>
      </c>
    </row>
    <row r="116" spans="1:14">
      <c r="A116" t="s">
        <v>228</v>
      </c>
      <c r="B116" s="1">
        <f t="shared" ref="B116:B179" si="11">$B$7</f>
        <v>2.52E-2</v>
      </c>
      <c r="C116" s="8">
        <f t="shared" ref="C116:N116" ca="1" si="12">B116*EXP($B$3*($B$2-B116)+$B$4*NORMSINV(RAND()))</f>
        <v>2.5935377819589159E-2</v>
      </c>
      <c r="D116" s="8">
        <f t="shared" ca="1" si="12"/>
        <v>2.4331022187609578E-2</v>
      </c>
      <c r="E116" s="8">
        <f t="shared" ca="1" si="12"/>
        <v>2.3729328089362497E-2</v>
      </c>
      <c r="F116" s="8">
        <f t="shared" ca="1" si="12"/>
        <v>2.4060246107646385E-2</v>
      </c>
      <c r="G116" s="8">
        <f t="shared" ca="1" si="12"/>
        <v>2.5576205506066176E-2</v>
      </c>
      <c r="H116" s="8">
        <f t="shared" ca="1" si="12"/>
        <v>2.5619974067245338E-2</v>
      </c>
      <c r="I116" s="8">
        <f t="shared" ca="1" si="12"/>
        <v>2.4918453778993804E-2</v>
      </c>
      <c r="J116" s="8">
        <f t="shared" ca="1" si="12"/>
        <v>2.5571897205086933E-2</v>
      </c>
      <c r="K116" s="8">
        <f t="shared" ca="1" si="12"/>
        <v>2.5421905544502906E-2</v>
      </c>
      <c r="L116" s="8">
        <f t="shared" ca="1" si="12"/>
        <v>2.4382747182060904E-2</v>
      </c>
      <c r="M116" s="8">
        <f t="shared" ca="1" si="12"/>
        <v>2.4254165665708736E-2</v>
      </c>
      <c r="N116" s="8">
        <f t="shared" ca="1" si="12"/>
        <v>2.4124550043138009E-2</v>
      </c>
    </row>
    <row r="117" spans="1:14">
      <c r="A117" t="s">
        <v>229</v>
      </c>
      <c r="B117" s="1">
        <f t="shared" si="11"/>
        <v>2.52E-2</v>
      </c>
      <c r="C117" s="8">
        <f t="shared" ref="C117:N117" ca="1" si="13">B117*EXP($B$3*($B$2-B117)+$B$4*NORMSINV(RAND()))</f>
        <v>2.4424510703610028E-2</v>
      </c>
      <c r="D117" s="8">
        <f t="shared" ca="1" si="13"/>
        <v>2.4683445225757834E-2</v>
      </c>
      <c r="E117" s="8">
        <f t="shared" ca="1" si="13"/>
        <v>2.3383701003995103E-2</v>
      </c>
      <c r="F117" s="8">
        <f t="shared" ca="1" si="13"/>
        <v>2.3121566906003956E-2</v>
      </c>
      <c r="G117" s="8">
        <f t="shared" ca="1" si="13"/>
        <v>2.2836008693117818E-2</v>
      </c>
      <c r="H117" s="8">
        <f t="shared" ca="1" si="13"/>
        <v>2.2550065165684349E-2</v>
      </c>
      <c r="I117" s="8">
        <f t="shared" ca="1" si="13"/>
        <v>2.2042149878466491E-2</v>
      </c>
      <c r="J117" s="8">
        <f t="shared" ca="1" si="13"/>
        <v>2.1221916722132719E-2</v>
      </c>
      <c r="K117" s="8">
        <f t="shared" ca="1" si="13"/>
        <v>2.1381099802786647E-2</v>
      </c>
      <c r="L117" s="8">
        <f t="shared" ca="1" si="13"/>
        <v>2.1369776416112329E-2</v>
      </c>
      <c r="M117" s="8">
        <f t="shared" ca="1" si="13"/>
        <v>2.0537771437282568E-2</v>
      </c>
      <c r="N117" s="8">
        <f t="shared" ca="1" si="13"/>
        <v>2.0589561507818894E-2</v>
      </c>
    </row>
    <row r="118" spans="1:14">
      <c r="A118" t="s">
        <v>230</v>
      </c>
      <c r="B118" s="1">
        <f t="shared" si="11"/>
        <v>2.52E-2</v>
      </c>
      <c r="C118" s="8">
        <f t="shared" ref="C118:N118" ca="1" si="14">B118*EXP($B$3*($B$2-B118)+$B$4*NORMSINV(RAND()))</f>
        <v>2.6179905286656435E-2</v>
      </c>
      <c r="D118" s="8">
        <f t="shared" ca="1" si="14"/>
        <v>2.5513061839094887E-2</v>
      </c>
      <c r="E118" s="8">
        <f t="shared" ca="1" si="14"/>
        <v>2.5940375454105907E-2</v>
      </c>
      <c r="F118" s="8">
        <f t="shared" ca="1" si="14"/>
        <v>2.6805460077535963E-2</v>
      </c>
      <c r="G118" s="8">
        <f t="shared" ca="1" si="14"/>
        <v>2.7283257040326966E-2</v>
      </c>
      <c r="H118" s="8">
        <f t="shared" ca="1" si="14"/>
        <v>2.8750104086643215E-2</v>
      </c>
      <c r="I118" s="8">
        <f t="shared" ca="1" si="14"/>
        <v>2.9959587186211747E-2</v>
      </c>
      <c r="J118" s="8">
        <f t="shared" ca="1" si="14"/>
        <v>2.9136759734978378E-2</v>
      </c>
      <c r="K118" s="8">
        <f t="shared" ca="1" si="14"/>
        <v>2.7608381045273689E-2</v>
      </c>
      <c r="L118" s="8">
        <f t="shared" ca="1" si="14"/>
        <v>2.7683477927187623E-2</v>
      </c>
      <c r="M118" s="8">
        <f t="shared" ca="1" si="14"/>
        <v>2.7107343895930024E-2</v>
      </c>
      <c r="N118" s="8">
        <f t="shared" ca="1" si="14"/>
        <v>2.8078044123168899E-2</v>
      </c>
    </row>
    <row r="119" spans="1:14">
      <c r="A119" t="s">
        <v>231</v>
      </c>
      <c r="B119" s="1">
        <f t="shared" si="11"/>
        <v>2.52E-2</v>
      </c>
      <c r="C119" s="8">
        <f t="shared" ref="C119:N119" ca="1" si="15">B119*EXP($B$3*($B$2-B119)+$B$4*NORMSINV(RAND()))</f>
        <v>2.54376462941974E-2</v>
      </c>
      <c r="D119" s="8">
        <f t="shared" ca="1" si="15"/>
        <v>2.5844579987032646E-2</v>
      </c>
      <c r="E119" s="8">
        <f t="shared" ca="1" si="15"/>
        <v>2.7161029298872961E-2</v>
      </c>
      <c r="F119" s="8">
        <f t="shared" ca="1" si="15"/>
        <v>2.6726334837991673E-2</v>
      </c>
      <c r="G119" s="8">
        <f t="shared" ca="1" si="15"/>
        <v>2.6179049899084088E-2</v>
      </c>
      <c r="H119" s="8">
        <f t="shared" ca="1" si="15"/>
        <v>2.6403593416120322E-2</v>
      </c>
      <c r="I119" s="8">
        <f t="shared" ca="1" si="15"/>
        <v>2.6122811466440254E-2</v>
      </c>
      <c r="J119" s="8">
        <f t="shared" ca="1" si="15"/>
        <v>2.6148843389336599E-2</v>
      </c>
      <c r="K119" s="8">
        <f t="shared" ca="1" si="15"/>
        <v>2.6330563956499867E-2</v>
      </c>
      <c r="L119" s="8">
        <f t="shared" ca="1" si="15"/>
        <v>2.702817146491375E-2</v>
      </c>
      <c r="M119" s="8">
        <f t="shared" ca="1" si="15"/>
        <v>2.7360279128979745E-2</v>
      </c>
      <c r="N119" s="8">
        <f t="shared" ca="1" si="15"/>
        <v>2.8531812378476244E-2</v>
      </c>
    </row>
    <row r="120" spans="1:14">
      <c r="A120" t="s">
        <v>232</v>
      </c>
      <c r="B120" s="1">
        <f t="shared" si="11"/>
        <v>2.52E-2</v>
      </c>
      <c r="C120" s="8">
        <f t="shared" ref="C120:N120" ca="1" si="16">B120*EXP($B$3*($B$2-B120)+$B$4*NORMSINV(RAND()))</f>
        <v>2.5505269353014143E-2</v>
      </c>
      <c r="D120" s="8">
        <f t="shared" ca="1" si="16"/>
        <v>2.6041651056082363E-2</v>
      </c>
      <c r="E120" s="8">
        <f t="shared" ca="1" si="16"/>
        <v>2.58603112680117E-2</v>
      </c>
      <c r="F120" s="8">
        <f t="shared" ca="1" si="16"/>
        <v>2.42077405014186E-2</v>
      </c>
      <c r="G120" s="8">
        <f t="shared" ca="1" si="16"/>
        <v>2.4085742673735797E-2</v>
      </c>
      <c r="H120" s="8">
        <f t="shared" ca="1" si="16"/>
        <v>2.455512834610377E-2</v>
      </c>
      <c r="I120" s="8">
        <f t="shared" ca="1" si="16"/>
        <v>2.5584548149566292E-2</v>
      </c>
      <c r="J120" s="8">
        <f t="shared" ca="1" si="16"/>
        <v>2.4050957305578921E-2</v>
      </c>
      <c r="K120" s="8">
        <f t="shared" ca="1" si="16"/>
        <v>2.4157645608292373E-2</v>
      </c>
      <c r="L120" s="8">
        <f t="shared" ca="1" si="16"/>
        <v>2.3701743863740705E-2</v>
      </c>
      <c r="M120" s="8">
        <f t="shared" ca="1" si="16"/>
        <v>2.4162127090447249E-2</v>
      </c>
      <c r="N120" s="8">
        <f t="shared" ca="1" si="16"/>
        <v>2.5037951167228348E-2</v>
      </c>
    </row>
    <row r="121" spans="1:14">
      <c r="A121" t="s">
        <v>233</v>
      </c>
      <c r="B121" s="1">
        <f t="shared" si="11"/>
        <v>2.52E-2</v>
      </c>
      <c r="C121" s="8">
        <f t="shared" ref="C121:N121" ca="1" si="17">B121*EXP($B$3*($B$2-B121)+$B$4*NORMSINV(RAND()))</f>
        <v>2.3406190870632289E-2</v>
      </c>
      <c r="D121" s="8">
        <f t="shared" ca="1" si="17"/>
        <v>2.3304216533593238E-2</v>
      </c>
      <c r="E121" s="8">
        <f t="shared" ca="1" si="17"/>
        <v>2.3735469533711692E-2</v>
      </c>
      <c r="F121" s="8">
        <f t="shared" ca="1" si="17"/>
        <v>2.3595564937643327E-2</v>
      </c>
      <c r="G121" s="8">
        <f t="shared" ca="1" si="17"/>
        <v>2.3600171379725362E-2</v>
      </c>
      <c r="H121" s="8">
        <f t="shared" ca="1" si="17"/>
        <v>2.2846438181168875E-2</v>
      </c>
      <c r="I121" s="8">
        <f t="shared" ca="1" si="17"/>
        <v>2.3544434864953237E-2</v>
      </c>
      <c r="J121" s="8">
        <f t="shared" ca="1" si="17"/>
        <v>2.3635520638461527E-2</v>
      </c>
      <c r="K121" s="8">
        <f t="shared" ca="1" si="17"/>
        <v>2.2687992652236394E-2</v>
      </c>
      <c r="L121" s="8">
        <f t="shared" ca="1" si="17"/>
        <v>2.1557593898631228E-2</v>
      </c>
      <c r="M121" s="8">
        <f t="shared" ca="1" si="17"/>
        <v>2.1859660722664424E-2</v>
      </c>
      <c r="N121" s="8">
        <f t="shared" ca="1" si="17"/>
        <v>2.1876793904923496E-2</v>
      </c>
    </row>
    <row r="122" spans="1:14">
      <c r="A122" t="s">
        <v>234</v>
      </c>
      <c r="B122" s="1">
        <f t="shared" si="11"/>
        <v>2.52E-2</v>
      </c>
      <c r="C122" s="8">
        <f t="shared" ref="C122:N122" ca="1" si="18">B122*EXP($B$3*($B$2-B122)+$B$4*NORMSINV(RAND()))</f>
        <v>2.5986112113625438E-2</v>
      </c>
      <c r="D122" s="8">
        <f t="shared" ca="1" si="18"/>
        <v>2.5010584552375426E-2</v>
      </c>
      <c r="E122" s="8">
        <f t="shared" ca="1" si="18"/>
        <v>2.4424066310789163E-2</v>
      </c>
      <c r="F122" s="8">
        <f t="shared" ca="1" si="18"/>
        <v>2.3263224839393245E-2</v>
      </c>
      <c r="G122" s="8">
        <f t="shared" ca="1" si="18"/>
        <v>2.3233890384293198E-2</v>
      </c>
      <c r="H122" s="8">
        <f t="shared" ca="1" si="18"/>
        <v>2.2241401008210288E-2</v>
      </c>
      <c r="I122" s="8">
        <f t="shared" ca="1" si="18"/>
        <v>2.2242345819354237E-2</v>
      </c>
      <c r="J122" s="8">
        <f t="shared" ca="1" si="18"/>
        <v>2.3718084337310368E-2</v>
      </c>
      <c r="K122" s="8">
        <f t="shared" ca="1" si="18"/>
        <v>2.2660440536688441E-2</v>
      </c>
      <c r="L122" s="8">
        <f t="shared" ca="1" si="18"/>
        <v>2.2369736410309912E-2</v>
      </c>
      <c r="M122" s="8">
        <f t="shared" ca="1" si="18"/>
        <v>2.2858146238165677E-2</v>
      </c>
      <c r="N122" s="8">
        <f t="shared" ca="1" si="18"/>
        <v>2.3357343083465192E-2</v>
      </c>
    </row>
    <row r="123" spans="1:14">
      <c r="A123" t="s">
        <v>235</v>
      </c>
      <c r="B123" s="1">
        <f t="shared" si="11"/>
        <v>2.52E-2</v>
      </c>
      <c r="C123" s="8">
        <f t="shared" ref="C123:N123" ca="1" si="19">B123*EXP($B$3*($B$2-B123)+$B$4*NORMSINV(RAND()))</f>
        <v>2.4657431961962434E-2</v>
      </c>
      <c r="D123" s="8">
        <f t="shared" ca="1" si="19"/>
        <v>2.4592488092622725E-2</v>
      </c>
      <c r="E123" s="8">
        <f t="shared" ca="1" si="19"/>
        <v>2.4832587714019784E-2</v>
      </c>
      <c r="F123" s="8">
        <f t="shared" ca="1" si="19"/>
        <v>2.4486431751241801E-2</v>
      </c>
      <c r="G123" s="8">
        <f t="shared" ca="1" si="19"/>
        <v>2.3752233327074147E-2</v>
      </c>
      <c r="H123" s="8">
        <f t="shared" ca="1" si="19"/>
        <v>2.2815138381962943E-2</v>
      </c>
      <c r="I123" s="8">
        <f t="shared" ca="1" si="19"/>
        <v>2.2305588533731883E-2</v>
      </c>
      <c r="J123" s="8">
        <f t="shared" ca="1" si="19"/>
        <v>2.228919369270067E-2</v>
      </c>
      <c r="K123" s="8">
        <f t="shared" ca="1" si="19"/>
        <v>2.1339369337669379E-2</v>
      </c>
      <c r="L123" s="8">
        <f t="shared" ca="1" si="19"/>
        <v>2.0635604679096777E-2</v>
      </c>
      <c r="M123" s="8">
        <f t="shared" ca="1" si="19"/>
        <v>2.0873907820506316E-2</v>
      </c>
      <c r="N123" s="8">
        <f t="shared" ca="1" si="19"/>
        <v>2.1396240145863138E-2</v>
      </c>
    </row>
    <row r="124" spans="1:14">
      <c r="A124" t="s">
        <v>236</v>
      </c>
      <c r="B124" s="1">
        <f t="shared" si="11"/>
        <v>2.52E-2</v>
      </c>
      <c r="C124" s="8">
        <f t="shared" ref="C124:N124" ca="1" si="20">B124*EXP($B$3*($B$2-B124)+$B$4*NORMSINV(RAND()))</f>
        <v>2.4292937430354121E-2</v>
      </c>
      <c r="D124" s="8">
        <f t="shared" ca="1" si="20"/>
        <v>2.446521808548531E-2</v>
      </c>
      <c r="E124" s="8">
        <f t="shared" ca="1" si="20"/>
        <v>2.468225679193467E-2</v>
      </c>
      <c r="F124" s="8">
        <f t="shared" ca="1" si="20"/>
        <v>2.4904907066909298E-2</v>
      </c>
      <c r="G124" s="8">
        <f t="shared" ca="1" si="20"/>
        <v>2.4778747906568567E-2</v>
      </c>
      <c r="H124" s="8">
        <f t="shared" ca="1" si="20"/>
        <v>2.441548576220922E-2</v>
      </c>
      <c r="I124" s="8">
        <f t="shared" ca="1" si="20"/>
        <v>2.4724764120413772E-2</v>
      </c>
      <c r="J124" s="8">
        <f t="shared" ca="1" si="20"/>
        <v>2.372805750861014E-2</v>
      </c>
      <c r="K124" s="8">
        <f t="shared" ca="1" si="20"/>
        <v>2.3783477017977624E-2</v>
      </c>
      <c r="L124" s="8">
        <f t="shared" ca="1" si="20"/>
        <v>2.2998565582079751E-2</v>
      </c>
      <c r="M124" s="8">
        <f t="shared" ca="1" si="20"/>
        <v>2.2047771097280407E-2</v>
      </c>
      <c r="N124" s="8">
        <f t="shared" ca="1" si="20"/>
        <v>2.1795112377948612E-2</v>
      </c>
    </row>
    <row r="125" spans="1:14">
      <c r="A125" t="s">
        <v>237</v>
      </c>
      <c r="B125" s="1">
        <f t="shared" si="11"/>
        <v>2.52E-2</v>
      </c>
      <c r="C125" s="8">
        <f t="shared" ref="C125:N125" ca="1" si="21">B125*EXP($B$3*($B$2-B125)+$B$4*NORMSINV(RAND()))</f>
        <v>2.4349426830373312E-2</v>
      </c>
      <c r="D125" s="8">
        <f t="shared" ca="1" si="21"/>
        <v>2.4444475439642351E-2</v>
      </c>
      <c r="E125" s="8">
        <f t="shared" ca="1" si="21"/>
        <v>2.6265226114280164E-2</v>
      </c>
      <c r="F125" s="8">
        <f t="shared" ca="1" si="21"/>
        <v>2.6093401902012328E-2</v>
      </c>
      <c r="G125" s="8">
        <f t="shared" ca="1" si="21"/>
        <v>2.6924449674026119E-2</v>
      </c>
      <c r="H125" s="8">
        <f t="shared" ca="1" si="21"/>
        <v>2.6322055290608642E-2</v>
      </c>
      <c r="I125" s="8">
        <f t="shared" ca="1" si="21"/>
        <v>2.7634937983806167E-2</v>
      </c>
      <c r="J125" s="8">
        <f t="shared" ca="1" si="21"/>
        <v>2.8046868542882464E-2</v>
      </c>
      <c r="K125" s="8">
        <f t="shared" ca="1" si="21"/>
        <v>2.7647374442084278E-2</v>
      </c>
      <c r="L125" s="8">
        <f t="shared" ca="1" si="21"/>
        <v>2.7687307762626227E-2</v>
      </c>
      <c r="M125" s="8">
        <f t="shared" ca="1" si="21"/>
        <v>2.6643195016503831E-2</v>
      </c>
      <c r="N125" s="8">
        <f t="shared" ca="1" si="21"/>
        <v>2.6801942005855641E-2</v>
      </c>
    </row>
    <row r="126" spans="1:14">
      <c r="A126" t="s">
        <v>238</v>
      </c>
      <c r="B126" s="1">
        <f t="shared" si="11"/>
        <v>2.52E-2</v>
      </c>
      <c r="C126" s="8">
        <f t="shared" ref="C126:N126" ca="1" si="22">B126*EXP($B$3*($B$2-B126)+$B$4*NORMSINV(RAND()))</f>
        <v>2.4563317294241938E-2</v>
      </c>
      <c r="D126" s="8">
        <f t="shared" ca="1" si="22"/>
        <v>2.3472365164578846E-2</v>
      </c>
      <c r="E126" s="8">
        <f t="shared" ca="1" si="22"/>
        <v>2.5019201540223728E-2</v>
      </c>
      <c r="F126" s="8">
        <f t="shared" ca="1" si="22"/>
        <v>2.5272533055796985E-2</v>
      </c>
      <c r="G126" s="8">
        <f t="shared" ca="1" si="22"/>
        <v>2.5352963982186828E-2</v>
      </c>
      <c r="H126" s="8">
        <f t="shared" ca="1" si="22"/>
        <v>2.6469699688738434E-2</v>
      </c>
      <c r="I126" s="8">
        <f t="shared" ca="1" si="22"/>
        <v>2.7302863226921378E-2</v>
      </c>
      <c r="J126" s="8">
        <f t="shared" ca="1" si="22"/>
        <v>2.6216514067497705E-2</v>
      </c>
      <c r="K126" s="8">
        <f t="shared" ca="1" si="22"/>
        <v>2.5968316963216682E-2</v>
      </c>
      <c r="L126" s="8">
        <f t="shared" ca="1" si="22"/>
        <v>2.5943681404639009E-2</v>
      </c>
      <c r="M126" s="8">
        <f t="shared" ca="1" si="22"/>
        <v>2.6373036748224291E-2</v>
      </c>
      <c r="N126" s="8">
        <f t="shared" ca="1" si="22"/>
        <v>2.6881182107237663E-2</v>
      </c>
    </row>
    <row r="127" spans="1:14">
      <c r="A127" t="s">
        <v>239</v>
      </c>
      <c r="B127" s="1">
        <f t="shared" si="11"/>
        <v>2.52E-2</v>
      </c>
      <c r="C127" s="8">
        <f t="shared" ref="C127:N127" ca="1" si="23">B127*EXP($B$3*($B$2-B127)+$B$4*NORMSINV(RAND()))</f>
        <v>2.5192840420103023E-2</v>
      </c>
      <c r="D127" s="8">
        <f t="shared" ca="1" si="23"/>
        <v>2.593142080808011E-2</v>
      </c>
      <c r="E127" s="8">
        <f t="shared" ca="1" si="23"/>
        <v>2.6457066018521717E-2</v>
      </c>
      <c r="F127" s="8">
        <f t="shared" ca="1" si="23"/>
        <v>2.5654663424980254E-2</v>
      </c>
      <c r="G127" s="8">
        <f t="shared" ca="1" si="23"/>
        <v>2.6940736081545499E-2</v>
      </c>
      <c r="H127" s="8">
        <f t="shared" ca="1" si="23"/>
        <v>2.8542997929756498E-2</v>
      </c>
      <c r="I127" s="8">
        <f t="shared" ca="1" si="23"/>
        <v>2.8835918824320943E-2</v>
      </c>
      <c r="J127" s="8">
        <f t="shared" ca="1" si="23"/>
        <v>2.8298606542256601E-2</v>
      </c>
      <c r="K127" s="8">
        <f t="shared" ca="1" si="23"/>
        <v>2.9551911921796157E-2</v>
      </c>
      <c r="L127" s="8">
        <f t="shared" ca="1" si="23"/>
        <v>3.0118812274579639E-2</v>
      </c>
      <c r="M127" s="8">
        <f t="shared" ca="1" si="23"/>
        <v>2.9447816290002943E-2</v>
      </c>
      <c r="N127" s="8">
        <f t="shared" ca="1" si="23"/>
        <v>2.6817292495612141E-2</v>
      </c>
    </row>
    <row r="128" spans="1:14">
      <c r="A128" t="s">
        <v>240</v>
      </c>
      <c r="B128" s="1">
        <f t="shared" si="11"/>
        <v>2.52E-2</v>
      </c>
      <c r="C128" s="8">
        <f t="shared" ref="C128:N128" ca="1" si="24">B128*EXP($B$3*($B$2-B128)+$B$4*NORMSINV(RAND()))</f>
        <v>2.5157782223520501E-2</v>
      </c>
      <c r="D128" s="8">
        <f t="shared" ca="1" si="24"/>
        <v>2.4930223312257922E-2</v>
      </c>
      <c r="E128" s="8">
        <f t="shared" ca="1" si="24"/>
        <v>2.4883280669289208E-2</v>
      </c>
      <c r="F128" s="8">
        <f t="shared" ca="1" si="24"/>
        <v>2.5819310864423371E-2</v>
      </c>
      <c r="G128" s="8">
        <f t="shared" ca="1" si="24"/>
        <v>2.4778519540244223E-2</v>
      </c>
      <c r="H128" s="8">
        <f t="shared" ca="1" si="24"/>
        <v>2.4656228591556886E-2</v>
      </c>
      <c r="I128" s="8">
        <f t="shared" ca="1" si="24"/>
        <v>2.4298188220732524E-2</v>
      </c>
      <c r="J128" s="8">
        <f t="shared" ca="1" si="24"/>
        <v>2.3762829928623358E-2</v>
      </c>
      <c r="K128" s="8">
        <f t="shared" ca="1" si="24"/>
        <v>2.4054045051166359E-2</v>
      </c>
      <c r="L128" s="8">
        <f t="shared" ca="1" si="24"/>
        <v>2.3481205035913669E-2</v>
      </c>
      <c r="M128" s="8">
        <f t="shared" ca="1" si="24"/>
        <v>2.3189610676374525E-2</v>
      </c>
      <c r="N128" s="8">
        <f t="shared" ca="1" si="24"/>
        <v>2.1791646681026924E-2</v>
      </c>
    </row>
    <row r="129" spans="1:14">
      <c r="A129" t="s">
        <v>241</v>
      </c>
      <c r="B129" s="1">
        <f t="shared" si="11"/>
        <v>2.52E-2</v>
      </c>
      <c r="C129" s="8">
        <f t="shared" ref="C129:N129" ca="1" si="25">B129*EXP($B$3*($B$2-B129)+$B$4*NORMSINV(RAND()))</f>
        <v>2.5567163684510428E-2</v>
      </c>
      <c r="D129" s="8">
        <f t="shared" ca="1" si="25"/>
        <v>2.6853833582315637E-2</v>
      </c>
      <c r="E129" s="8">
        <f t="shared" ca="1" si="25"/>
        <v>2.8376789654789413E-2</v>
      </c>
      <c r="F129" s="8">
        <f t="shared" ca="1" si="25"/>
        <v>2.7955364066550005E-2</v>
      </c>
      <c r="G129" s="8">
        <f t="shared" ca="1" si="25"/>
        <v>2.747666654142138E-2</v>
      </c>
      <c r="H129" s="8">
        <f t="shared" ca="1" si="25"/>
        <v>2.6839605575423545E-2</v>
      </c>
      <c r="I129" s="8">
        <f t="shared" ca="1" si="25"/>
        <v>2.6932948990251962E-2</v>
      </c>
      <c r="J129" s="8">
        <f t="shared" ca="1" si="25"/>
        <v>2.6391860490641905E-2</v>
      </c>
      <c r="K129" s="8">
        <f t="shared" ca="1" si="25"/>
        <v>2.5451863730905858E-2</v>
      </c>
      <c r="L129" s="8">
        <f t="shared" ca="1" si="25"/>
        <v>2.6757490722850517E-2</v>
      </c>
      <c r="M129" s="8">
        <f t="shared" ca="1" si="25"/>
        <v>2.7306140712258627E-2</v>
      </c>
      <c r="N129" s="8">
        <f t="shared" ca="1" si="25"/>
        <v>2.8337733293834804E-2</v>
      </c>
    </row>
    <row r="130" spans="1:14">
      <c r="A130" t="s">
        <v>242</v>
      </c>
      <c r="B130" s="1">
        <f t="shared" si="11"/>
        <v>2.52E-2</v>
      </c>
      <c r="C130" s="8">
        <f t="shared" ref="C130:N130" ca="1" si="26">B130*EXP($B$3*($B$2-B130)+$B$4*NORMSINV(RAND()))</f>
        <v>2.4926605173463644E-2</v>
      </c>
      <c r="D130" s="8">
        <f t="shared" ca="1" si="26"/>
        <v>2.3918881433843929E-2</v>
      </c>
      <c r="E130" s="8">
        <f t="shared" ca="1" si="26"/>
        <v>2.5426432261048307E-2</v>
      </c>
      <c r="F130" s="8">
        <f t="shared" ca="1" si="26"/>
        <v>2.4813119519836863E-2</v>
      </c>
      <c r="G130" s="8">
        <f t="shared" ca="1" si="26"/>
        <v>2.4865916464384998E-2</v>
      </c>
      <c r="H130" s="8">
        <f t="shared" ca="1" si="26"/>
        <v>2.4310668920125383E-2</v>
      </c>
      <c r="I130" s="8">
        <f t="shared" ca="1" si="26"/>
        <v>2.3776928693536648E-2</v>
      </c>
      <c r="J130" s="8">
        <f t="shared" ca="1" si="26"/>
        <v>2.3951209396420165E-2</v>
      </c>
      <c r="K130" s="8">
        <f t="shared" ca="1" si="26"/>
        <v>2.4819204649369066E-2</v>
      </c>
      <c r="L130" s="8">
        <f t="shared" ca="1" si="26"/>
        <v>2.4574776791570621E-2</v>
      </c>
      <c r="M130" s="8">
        <f t="shared" ca="1" si="26"/>
        <v>2.5081971859290897E-2</v>
      </c>
      <c r="N130" s="8">
        <f t="shared" ca="1" si="26"/>
        <v>2.4599370481965012E-2</v>
      </c>
    </row>
    <row r="131" spans="1:14">
      <c r="A131" t="s">
        <v>243</v>
      </c>
      <c r="B131" s="1">
        <f t="shared" si="11"/>
        <v>2.52E-2</v>
      </c>
      <c r="C131" s="8">
        <f t="shared" ref="C131:N131" ca="1" si="27">B131*EXP($B$3*($B$2-B131)+$B$4*NORMSINV(RAND()))</f>
        <v>2.5558794197943092E-2</v>
      </c>
      <c r="D131" s="8">
        <f t="shared" ca="1" si="27"/>
        <v>2.4739409859951801E-2</v>
      </c>
      <c r="E131" s="8">
        <f t="shared" ca="1" si="27"/>
        <v>2.4951064224688489E-2</v>
      </c>
      <c r="F131" s="8">
        <f t="shared" ca="1" si="27"/>
        <v>2.5164205542537846E-2</v>
      </c>
      <c r="G131" s="8">
        <f t="shared" ca="1" si="27"/>
        <v>2.4351800716698811E-2</v>
      </c>
      <c r="H131" s="8">
        <f t="shared" ca="1" si="27"/>
        <v>2.3753548981102813E-2</v>
      </c>
      <c r="I131" s="8">
        <f t="shared" ca="1" si="27"/>
        <v>2.2651085634716177E-2</v>
      </c>
      <c r="J131" s="8">
        <f t="shared" ca="1" si="27"/>
        <v>2.2055817202097896E-2</v>
      </c>
      <c r="K131" s="8">
        <f t="shared" ca="1" si="27"/>
        <v>2.0933694064167781E-2</v>
      </c>
      <c r="L131" s="8">
        <f t="shared" ca="1" si="27"/>
        <v>2.1503162927828876E-2</v>
      </c>
      <c r="M131" s="8">
        <f t="shared" ca="1" si="27"/>
        <v>2.2078079057057901E-2</v>
      </c>
      <c r="N131" s="8">
        <f t="shared" ca="1" si="27"/>
        <v>2.1704923512506389E-2</v>
      </c>
    </row>
    <row r="132" spans="1:14">
      <c r="A132" t="s">
        <v>244</v>
      </c>
      <c r="B132" s="1">
        <f t="shared" si="11"/>
        <v>2.52E-2</v>
      </c>
      <c r="C132" s="8">
        <f t="shared" ref="C132:N132" ca="1" si="28">B132*EXP($B$3*($B$2-B132)+$B$4*NORMSINV(RAND()))</f>
        <v>2.5492065536633725E-2</v>
      </c>
      <c r="D132" s="8">
        <f t="shared" ca="1" si="28"/>
        <v>2.509650418301361E-2</v>
      </c>
      <c r="E132" s="8">
        <f t="shared" ca="1" si="28"/>
        <v>2.5221858882268099E-2</v>
      </c>
      <c r="F132" s="8">
        <f t="shared" ca="1" si="28"/>
        <v>2.5398540070959499E-2</v>
      </c>
      <c r="G132" s="8">
        <f t="shared" ca="1" si="28"/>
        <v>2.6272650747397364E-2</v>
      </c>
      <c r="H132" s="8">
        <f t="shared" ca="1" si="28"/>
        <v>2.5424562767883744E-2</v>
      </c>
      <c r="I132" s="8">
        <f t="shared" ca="1" si="28"/>
        <v>2.5705848400739199E-2</v>
      </c>
      <c r="J132" s="8">
        <f t="shared" ca="1" si="28"/>
        <v>2.4781495031909524E-2</v>
      </c>
      <c r="K132" s="8">
        <f t="shared" ca="1" si="28"/>
        <v>2.4835299830170594E-2</v>
      </c>
      <c r="L132" s="8">
        <f t="shared" ca="1" si="28"/>
        <v>2.5118021722971302E-2</v>
      </c>
      <c r="M132" s="8">
        <f t="shared" ca="1" si="28"/>
        <v>2.5390034928810066E-2</v>
      </c>
      <c r="N132" s="8">
        <f t="shared" ca="1" si="28"/>
        <v>2.4783624075631436E-2</v>
      </c>
    </row>
    <row r="133" spans="1:14">
      <c r="A133" t="s">
        <v>245</v>
      </c>
      <c r="B133" s="1">
        <f t="shared" si="11"/>
        <v>2.52E-2</v>
      </c>
      <c r="C133" s="8">
        <f t="shared" ref="C133:N133" ca="1" si="29">B133*EXP($B$3*($B$2-B133)+$B$4*NORMSINV(RAND()))</f>
        <v>2.5700936393952857E-2</v>
      </c>
      <c r="D133" s="8">
        <f t="shared" ca="1" si="29"/>
        <v>2.4984284412704866E-2</v>
      </c>
      <c r="E133" s="8">
        <f t="shared" ca="1" si="29"/>
        <v>2.4767542184913272E-2</v>
      </c>
      <c r="F133" s="8">
        <f t="shared" ca="1" si="29"/>
        <v>2.5277897108662593E-2</v>
      </c>
      <c r="G133" s="8">
        <f t="shared" ca="1" si="29"/>
        <v>2.4423154782691629E-2</v>
      </c>
      <c r="H133" s="8">
        <f t="shared" ca="1" si="29"/>
        <v>2.3906003081636516E-2</v>
      </c>
      <c r="I133" s="8">
        <f t="shared" ca="1" si="29"/>
        <v>2.3368917954277067E-2</v>
      </c>
      <c r="J133" s="8">
        <f t="shared" ca="1" si="29"/>
        <v>2.2663594931785935E-2</v>
      </c>
      <c r="K133" s="8">
        <f t="shared" ca="1" si="29"/>
        <v>2.2083227091828056E-2</v>
      </c>
      <c r="L133" s="8">
        <f t="shared" ca="1" si="29"/>
        <v>2.142562653118691E-2</v>
      </c>
      <c r="M133" s="8">
        <f t="shared" ca="1" si="29"/>
        <v>2.1777667632412259E-2</v>
      </c>
      <c r="N133" s="8">
        <f t="shared" ca="1" si="29"/>
        <v>2.2188006919904978E-2</v>
      </c>
    </row>
    <row r="134" spans="1:14">
      <c r="A134" t="s">
        <v>246</v>
      </c>
      <c r="B134" s="1">
        <f t="shared" si="11"/>
        <v>2.52E-2</v>
      </c>
      <c r="C134" s="8">
        <f t="shared" ref="C134:N134" ca="1" si="30">B134*EXP($B$3*($B$2-B134)+$B$4*NORMSINV(RAND()))</f>
        <v>2.4978678896628477E-2</v>
      </c>
      <c r="D134" s="8">
        <f t="shared" ca="1" si="30"/>
        <v>2.3377632692509222E-2</v>
      </c>
      <c r="E134" s="8">
        <f t="shared" ca="1" si="30"/>
        <v>2.2913079143024189E-2</v>
      </c>
      <c r="F134" s="8">
        <f t="shared" ca="1" si="30"/>
        <v>2.346398134507786E-2</v>
      </c>
      <c r="G134" s="8">
        <f t="shared" ca="1" si="30"/>
        <v>2.3162907229023016E-2</v>
      </c>
      <c r="H134" s="8">
        <f t="shared" ca="1" si="30"/>
        <v>2.3087350914704634E-2</v>
      </c>
      <c r="I134" s="8">
        <f t="shared" ca="1" si="30"/>
        <v>2.2677736753816926E-2</v>
      </c>
      <c r="J134" s="8">
        <f t="shared" ca="1" si="30"/>
        <v>2.1149427655251889E-2</v>
      </c>
      <c r="K134" s="8">
        <f t="shared" ca="1" si="30"/>
        <v>2.1490573701768871E-2</v>
      </c>
      <c r="L134" s="8">
        <f t="shared" ca="1" si="30"/>
        <v>2.1542546099858201E-2</v>
      </c>
      <c r="M134" s="8">
        <f t="shared" ca="1" si="30"/>
        <v>2.1945198303154827E-2</v>
      </c>
      <c r="N134" s="8">
        <f t="shared" ca="1" si="30"/>
        <v>2.1545072961227749E-2</v>
      </c>
    </row>
    <row r="135" spans="1:14">
      <c r="A135" t="s">
        <v>247</v>
      </c>
      <c r="B135" s="1">
        <f t="shared" si="11"/>
        <v>2.52E-2</v>
      </c>
      <c r="C135" s="8">
        <f t="shared" ref="C135:N135" ca="1" si="31">B135*EXP($B$3*($B$2-B135)+$B$4*NORMSINV(RAND()))</f>
        <v>2.5771814684731591E-2</v>
      </c>
      <c r="D135" s="8">
        <f t="shared" ca="1" si="31"/>
        <v>2.5429465124993236E-2</v>
      </c>
      <c r="E135" s="8">
        <f t="shared" ca="1" si="31"/>
        <v>2.3962420931546893E-2</v>
      </c>
      <c r="F135" s="8">
        <f t="shared" ca="1" si="31"/>
        <v>2.4968021291936274E-2</v>
      </c>
      <c r="G135" s="8">
        <f t="shared" ca="1" si="31"/>
        <v>2.5539354152323404E-2</v>
      </c>
      <c r="H135" s="8">
        <f t="shared" ca="1" si="31"/>
        <v>2.5631318578932482E-2</v>
      </c>
      <c r="I135" s="8">
        <f t="shared" ca="1" si="31"/>
        <v>2.6699489085390705E-2</v>
      </c>
      <c r="J135" s="8">
        <f t="shared" ca="1" si="31"/>
        <v>2.5906306685056876E-2</v>
      </c>
      <c r="K135" s="8">
        <f t="shared" ca="1" si="31"/>
        <v>2.5103169004707628E-2</v>
      </c>
      <c r="L135" s="8">
        <f t="shared" ca="1" si="31"/>
        <v>2.5691362479336174E-2</v>
      </c>
      <c r="M135" s="8">
        <f t="shared" ca="1" si="31"/>
        <v>2.5074346845769424E-2</v>
      </c>
      <c r="N135" s="8">
        <f t="shared" ca="1" si="31"/>
        <v>2.5223999677400424E-2</v>
      </c>
    </row>
    <row r="136" spans="1:14">
      <c r="A136" t="s">
        <v>248</v>
      </c>
      <c r="B136" s="1">
        <f t="shared" si="11"/>
        <v>2.52E-2</v>
      </c>
      <c r="C136" s="8">
        <f t="shared" ref="C136:N136" ca="1" si="32">B136*EXP($B$3*($B$2-B136)+$B$4*NORMSINV(RAND()))</f>
        <v>2.5093829287777848E-2</v>
      </c>
      <c r="D136" s="8">
        <f t="shared" ca="1" si="32"/>
        <v>2.4892099948881998E-2</v>
      </c>
      <c r="E136" s="8">
        <f t="shared" ca="1" si="32"/>
        <v>2.5462489366926928E-2</v>
      </c>
      <c r="F136" s="8">
        <f t="shared" ca="1" si="32"/>
        <v>2.5102979643418115E-2</v>
      </c>
      <c r="G136" s="8">
        <f t="shared" ca="1" si="32"/>
        <v>2.6192002680325253E-2</v>
      </c>
      <c r="H136" s="8">
        <f t="shared" ca="1" si="32"/>
        <v>2.6179270760347605E-2</v>
      </c>
      <c r="I136" s="8">
        <f t="shared" ca="1" si="32"/>
        <v>2.7036661626143425E-2</v>
      </c>
      <c r="J136" s="8">
        <f t="shared" ca="1" si="32"/>
        <v>2.7188251443289811E-2</v>
      </c>
      <c r="K136" s="8">
        <f t="shared" ca="1" si="32"/>
        <v>2.6946092281048235E-2</v>
      </c>
      <c r="L136" s="8">
        <f t="shared" ca="1" si="32"/>
        <v>2.717558738613365E-2</v>
      </c>
      <c r="M136" s="8">
        <f t="shared" ca="1" si="32"/>
        <v>2.6807187133636733E-2</v>
      </c>
      <c r="N136" s="8">
        <f t="shared" ca="1" si="32"/>
        <v>2.6735133458064112E-2</v>
      </c>
    </row>
    <row r="137" spans="1:14">
      <c r="A137" t="s">
        <v>249</v>
      </c>
      <c r="B137" s="1">
        <f t="shared" si="11"/>
        <v>2.52E-2</v>
      </c>
      <c r="C137" s="8">
        <f t="shared" ref="C137:N137" ca="1" si="33">B137*EXP($B$3*($B$2-B137)+$B$4*NORMSINV(RAND()))</f>
        <v>2.6052946469429419E-2</v>
      </c>
      <c r="D137" s="8">
        <f t="shared" ca="1" si="33"/>
        <v>2.6194977443521991E-2</v>
      </c>
      <c r="E137" s="8">
        <f t="shared" ca="1" si="33"/>
        <v>2.7534671569147975E-2</v>
      </c>
      <c r="F137" s="8">
        <f t="shared" ca="1" si="33"/>
        <v>2.8054390517718322E-2</v>
      </c>
      <c r="G137" s="8">
        <f t="shared" ca="1" si="33"/>
        <v>2.8283356016440265E-2</v>
      </c>
      <c r="H137" s="8">
        <f t="shared" ca="1" si="33"/>
        <v>2.6672418513614078E-2</v>
      </c>
      <c r="I137" s="8">
        <f t="shared" ca="1" si="33"/>
        <v>2.6320153798217016E-2</v>
      </c>
      <c r="J137" s="8">
        <f t="shared" ca="1" si="33"/>
        <v>2.7208273616351045E-2</v>
      </c>
      <c r="K137" s="8">
        <f t="shared" ca="1" si="33"/>
        <v>2.5549406544388698E-2</v>
      </c>
      <c r="L137" s="8">
        <f t="shared" ca="1" si="33"/>
        <v>2.6031417599469659E-2</v>
      </c>
      <c r="M137" s="8">
        <f t="shared" ca="1" si="33"/>
        <v>2.5192239921385171E-2</v>
      </c>
      <c r="N137" s="8">
        <f t="shared" ca="1" si="33"/>
        <v>2.4987196827275428E-2</v>
      </c>
    </row>
    <row r="138" spans="1:14">
      <c r="A138" t="s">
        <v>250</v>
      </c>
      <c r="B138" s="1">
        <f t="shared" si="11"/>
        <v>2.52E-2</v>
      </c>
      <c r="C138" s="8">
        <f t="shared" ref="C138:N138" ca="1" si="34">B138*EXP($B$3*($B$2-B138)+$B$4*NORMSINV(RAND()))</f>
        <v>2.3411970719731213E-2</v>
      </c>
      <c r="D138" s="8">
        <f t="shared" ca="1" si="34"/>
        <v>2.3422880059058713E-2</v>
      </c>
      <c r="E138" s="8">
        <f t="shared" ca="1" si="34"/>
        <v>2.4171939697410119E-2</v>
      </c>
      <c r="F138" s="8">
        <f t="shared" ca="1" si="34"/>
        <v>2.4382482687955929E-2</v>
      </c>
      <c r="G138" s="8">
        <f t="shared" ca="1" si="34"/>
        <v>2.3352006951286149E-2</v>
      </c>
      <c r="H138" s="8">
        <f t="shared" ca="1" si="34"/>
        <v>2.3401308679299196E-2</v>
      </c>
      <c r="I138" s="8">
        <f t="shared" ca="1" si="34"/>
        <v>2.2481498259576179E-2</v>
      </c>
      <c r="J138" s="8">
        <f t="shared" ca="1" si="34"/>
        <v>2.2229909963325495E-2</v>
      </c>
      <c r="K138" s="8">
        <f t="shared" ca="1" si="34"/>
        <v>2.2837462534223096E-2</v>
      </c>
      <c r="L138" s="8">
        <f t="shared" ca="1" si="34"/>
        <v>2.3581198739972876E-2</v>
      </c>
      <c r="M138" s="8">
        <f t="shared" ca="1" si="34"/>
        <v>2.3589002053513539E-2</v>
      </c>
      <c r="N138" s="8">
        <f t="shared" ca="1" si="34"/>
        <v>2.371239834735701E-2</v>
      </c>
    </row>
    <row r="139" spans="1:14">
      <c r="A139" t="s">
        <v>251</v>
      </c>
      <c r="B139" s="1">
        <f t="shared" si="11"/>
        <v>2.52E-2</v>
      </c>
      <c r="C139" s="8">
        <f t="shared" ref="C139:N139" ca="1" si="35">B139*EXP($B$3*($B$2-B139)+$B$4*NORMSINV(RAND()))</f>
        <v>2.5427407949282981E-2</v>
      </c>
      <c r="D139" s="8">
        <f t="shared" ca="1" si="35"/>
        <v>2.6525777340108005E-2</v>
      </c>
      <c r="E139" s="8">
        <f t="shared" ca="1" si="35"/>
        <v>2.6268436593944015E-2</v>
      </c>
      <c r="F139" s="8">
        <f t="shared" ca="1" si="35"/>
        <v>2.5268377983490919E-2</v>
      </c>
      <c r="G139" s="8">
        <f t="shared" ca="1" si="35"/>
        <v>2.4648136564673517E-2</v>
      </c>
      <c r="H139" s="8">
        <f t="shared" ca="1" si="35"/>
        <v>2.2755704799387075E-2</v>
      </c>
      <c r="I139" s="8">
        <f t="shared" ca="1" si="35"/>
        <v>2.2705507722363964E-2</v>
      </c>
      <c r="J139" s="8">
        <f t="shared" ca="1" si="35"/>
        <v>2.3682104007773153E-2</v>
      </c>
      <c r="K139" s="8">
        <f t="shared" ca="1" si="35"/>
        <v>2.2267484675838615E-2</v>
      </c>
      <c r="L139" s="8">
        <f t="shared" ca="1" si="35"/>
        <v>2.3034056515855598E-2</v>
      </c>
      <c r="M139" s="8">
        <f t="shared" ca="1" si="35"/>
        <v>2.4068260362380821E-2</v>
      </c>
      <c r="N139" s="8">
        <f t="shared" ca="1" si="35"/>
        <v>2.3949275830057563E-2</v>
      </c>
    </row>
    <row r="140" spans="1:14">
      <c r="A140" t="s">
        <v>252</v>
      </c>
      <c r="B140" s="1">
        <f t="shared" si="11"/>
        <v>2.52E-2</v>
      </c>
      <c r="C140" s="8">
        <f t="shared" ref="C140:N140" ca="1" si="36">B140*EXP($B$3*($B$2-B140)+$B$4*NORMSINV(RAND()))</f>
        <v>2.5092196802235116E-2</v>
      </c>
      <c r="D140" s="8">
        <f t="shared" ca="1" si="36"/>
        <v>2.5760161863753007E-2</v>
      </c>
      <c r="E140" s="8">
        <f t="shared" ca="1" si="36"/>
        <v>2.4733076815963633E-2</v>
      </c>
      <c r="F140" s="8">
        <f t="shared" ca="1" si="36"/>
        <v>2.5431001857155588E-2</v>
      </c>
      <c r="G140" s="8">
        <f t="shared" ca="1" si="36"/>
        <v>2.5003902773263944E-2</v>
      </c>
      <c r="H140" s="8">
        <f t="shared" ca="1" si="36"/>
        <v>2.475366758130142E-2</v>
      </c>
      <c r="I140" s="8">
        <f t="shared" ca="1" si="36"/>
        <v>2.64281749357149E-2</v>
      </c>
      <c r="J140" s="8">
        <f t="shared" ca="1" si="36"/>
        <v>2.5592467558814773E-2</v>
      </c>
      <c r="K140" s="8">
        <f t="shared" ca="1" si="36"/>
        <v>2.6000462113287885E-2</v>
      </c>
      <c r="L140" s="8">
        <f t="shared" ca="1" si="36"/>
        <v>2.6375888378908294E-2</v>
      </c>
      <c r="M140" s="8">
        <f t="shared" ca="1" si="36"/>
        <v>2.5583986455897743E-2</v>
      </c>
      <c r="N140" s="8">
        <f t="shared" ca="1" si="36"/>
        <v>2.5930091629758203E-2</v>
      </c>
    </row>
    <row r="141" spans="1:14">
      <c r="A141" t="s">
        <v>253</v>
      </c>
      <c r="B141" s="1">
        <f t="shared" si="11"/>
        <v>2.52E-2</v>
      </c>
      <c r="C141" s="8">
        <f t="shared" ref="C141:N141" ca="1" si="37">B141*EXP($B$3*($B$2-B141)+$B$4*NORMSINV(RAND()))</f>
        <v>2.7183452056683762E-2</v>
      </c>
      <c r="D141" s="8">
        <f t="shared" ca="1" si="37"/>
        <v>2.8388265957403552E-2</v>
      </c>
      <c r="E141" s="8">
        <f t="shared" ca="1" si="37"/>
        <v>2.9472104511043734E-2</v>
      </c>
      <c r="F141" s="8">
        <f t="shared" ca="1" si="37"/>
        <v>2.7282519984106662E-2</v>
      </c>
      <c r="G141" s="8">
        <f t="shared" ca="1" si="37"/>
        <v>2.7877105846382966E-2</v>
      </c>
      <c r="H141" s="8">
        <f t="shared" ca="1" si="37"/>
        <v>2.8793080522332336E-2</v>
      </c>
      <c r="I141" s="8">
        <f t="shared" ca="1" si="37"/>
        <v>2.8324229503722667E-2</v>
      </c>
      <c r="J141" s="8">
        <f t="shared" ca="1" si="37"/>
        <v>2.7074142937381637E-2</v>
      </c>
      <c r="K141" s="8">
        <f t="shared" ca="1" si="37"/>
        <v>2.6121959866992867E-2</v>
      </c>
      <c r="L141" s="8">
        <f t="shared" ca="1" si="37"/>
        <v>2.5942269946356494E-2</v>
      </c>
      <c r="M141" s="8">
        <f t="shared" ca="1" si="37"/>
        <v>2.5484725885208483E-2</v>
      </c>
      <c r="N141" s="8">
        <f t="shared" ca="1" si="37"/>
        <v>2.6540537528969555E-2</v>
      </c>
    </row>
    <row r="142" spans="1:14">
      <c r="A142" t="s">
        <v>254</v>
      </c>
      <c r="B142" s="1">
        <f t="shared" si="11"/>
        <v>2.52E-2</v>
      </c>
      <c r="C142" s="8">
        <f t="shared" ref="C142:N142" ca="1" si="38">B142*EXP($B$3*($B$2-B142)+$B$4*NORMSINV(RAND()))</f>
        <v>2.5988652559128161E-2</v>
      </c>
      <c r="D142" s="8">
        <f t="shared" ca="1" si="38"/>
        <v>2.6570489153641547E-2</v>
      </c>
      <c r="E142" s="8">
        <f t="shared" ca="1" si="38"/>
        <v>2.6288527525222385E-2</v>
      </c>
      <c r="F142" s="8">
        <f t="shared" ca="1" si="38"/>
        <v>2.6343270932013801E-2</v>
      </c>
      <c r="G142" s="8">
        <f t="shared" ca="1" si="38"/>
        <v>2.7967775768477105E-2</v>
      </c>
      <c r="H142" s="8">
        <f t="shared" ca="1" si="38"/>
        <v>2.954259860842396E-2</v>
      </c>
      <c r="I142" s="8">
        <f t="shared" ca="1" si="38"/>
        <v>2.9798638209653863E-2</v>
      </c>
      <c r="J142" s="8">
        <f t="shared" ca="1" si="38"/>
        <v>2.8667100578572729E-2</v>
      </c>
      <c r="K142" s="8">
        <f t="shared" ca="1" si="38"/>
        <v>2.8532954131941134E-2</v>
      </c>
      <c r="L142" s="8">
        <f t="shared" ca="1" si="38"/>
        <v>2.7821574267777718E-2</v>
      </c>
      <c r="M142" s="8">
        <f t="shared" ca="1" si="38"/>
        <v>2.7395346285743569E-2</v>
      </c>
      <c r="N142" s="8">
        <f t="shared" ca="1" si="38"/>
        <v>2.6834287419029101E-2</v>
      </c>
    </row>
    <row r="143" spans="1:14">
      <c r="A143" t="s">
        <v>255</v>
      </c>
      <c r="B143" s="1">
        <f t="shared" si="11"/>
        <v>2.52E-2</v>
      </c>
      <c r="C143" s="8">
        <f t="shared" ref="C143:N143" ca="1" si="39">B143*EXP($B$3*($B$2-B143)+$B$4*NORMSINV(RAND()))</f>
        <v>2.427183800259132E-2</v>
      </c>
      <c r="D143" s="8">
        <f t="shared" ca="1" si="39"/>
        <v>2.4855862059275233E-2</v>
      </c>
      <c r="E143" s="8">
        <f t="shared" ca="1" si="39"/>
        <v>2.4279750459884987E-2</v>
      </c>
      <c r="F143" s="8">
        <f t="shared" ca="1" si="39"/>
        <v>2.3208971682908509E-2</v>
      </c>
      <c r="G143" s="8">
        <f t="shared" ca="1" si="39"/>
        <v>2.3107808536269755E-2</v>
      </c>
      <c r="H143" s="8">
        <f t="shared" ca="1" si="39"/>
        <v>2.2748590462897973E-2</v>
      </c>
      <c r="I143" s="8">
        <f t="shared" ca="1" si="39"/>
        <v>2.2105502786070493E-2</v>
      </c>
      <c r="J143" s="8">
        <f t="shared" ca="1" si="39"/>
        <v>2.2825498854104696E-2</v>
      </c>
      <c r="K143" s="8">
        <f t="shared" ca="1" si="39"/>
        <v>2.3220082820075129E-2</v>
      </c>
      <c r="L143" s="8">
        <f t="shared" ca="1" si="39"/>
        <v>2.2540878199267492E-2</v>
      </c>
      <c r="M143" s="8">
        <f t="shared" ca="1" si="39"/>
        <v>2.2645616494396063E-2</v>
      </c>
      <c r="N143" s="8">
        <f t="shared" ca="1" si="39"/>
        <v>2.3102563993312727E-2</v>
      </c>
    </row>
    <row r="144" spans="1:14">
      <c r="A144" t="s">
        <v>256</v>
      </c>
      <c r="B144" s="1">
        <f t="shared" si="11"/>
        <v>2.52E-2</v>
      </c>
      <c r="C144" s="8">
        <f t="shared" ref="C144:N144" ca="1" si="40">B144*EXP($B$3*($B$2-B144)+$B$4*NORMSINV(RAND()))</f>
        <v>2.5803575206442442E-2</v>
      </c>
      <c r="D144" s="8">
        <f t="shared" ca="1" si="40"/>
        <v>2.5090947649533402E-2</v>
      </c>
      <c r="E144" s="8">
        <f t="shared" ca="1" si="40"/>
        <v>2.5712244019122196E-2</v>
      </c>
      <c r="F144" s="8">
        <f t="shared" ca="1" si="40"/>
        <v>2.5920166552964734E-2</v>
      </c>
      <c r="G144" s="8">
        <f t="shared" ca="1" si="40"/>
        <v>2.6040795574813473E-2</v>
      </c>
      <c r="H144" s="8">
        <f t="shared" ca="1" si="40"/>
        <v>2.6474034388968809E-2</v>
      </c>
      <c r="I144" s="8">
        <f t="shared" ca="1" si="40"/>
        <v>2.6584694746927307E-2</v>
      </c>
      <c r="J144" s="8">
        <f t="shared" ca="1" si="40"/>
        <v>2.7072452503143156E-2</v>
      </c>
      <c r="K144" s="8">
        <f t="shared" ca="1" si="40"/>
        <v>2.6932296118367526E-2</v>
      </c>
      <c r="L144" s="8">
        <f t="shared" ca="1" si="40"/>
        <v>2.6624440507216001E-2</v>
      </c>
      <c r="M144" s="8">
        <f t="shared" ca="1" si="40"/>
        <v>2.7282784223492722E-2</v>
      </c>
      <c r="N144" s="8">
        <f t="shared" ca="1" si="40"/>
        <v>2.8304781137668301E-2</v>
      </c>
    </row>
    <row r="145" spans="1:14">
      <c r="A145" t="s">
        <v>257</v>
      </c>
      <c r="B145" s="1">
        <f t="shared" si="11"/>
        <v>2.52E-2</v>
      </c>
      <c r="C145" s="8">
        <f t="shared" ref="C145:N145" ca="1" si="41">B145*EXP($B$3*($B$2-B145)+$B$4*NORMSINV(RAND()))</f>
        <v>2.5822846335200159E-2</v>
      </c>
      <c r="D145" s="8">
        <f t="shared" ca="1" si="41"/>
        <v>2.6320820563252204E-2</v>
      </c>
      <c r="E145" s="8">
        <f t="shared" ca="1" si="41"/>
        <v>2.6223901715002627E-2</v>
      </c>
      <c r="F145" s="8">
        <f t="shared" ca="1" si="41"/>
        <v>2.6825942637114762E-2</v>
      </c>
      <c r="G145" s="8">
        <f t="shared" ca="1" si="41"/>
        <v>2.6251878257747774E-2</v>
      </c>
      <c r="H145" s="8">
        <f t="shared" ca="1" si="41"/>
        <v>2.5256370382988887E-2</v>
      </c>
      <c r="I145" s="8">
        <f t="shared" ca="1" si="41"/>
        <v>2.5926032826448717E-2</v>
      </c>
      <c r="J145" s="8">
        <f t="shared" ca="1" si="41"/>
        <v>2.5045810297540244E-2</v>
      </c>
      <c r="K145" s="8">
        <f t="shared" ca="1" si="41"/>
        <v>2.484956843528386E-2</v>
      </c>
      <c r="L145" s="8">
        <f t="shared" ca="1" si="41"/>
        <v>2.4473975273892574E-2</v>
      </c>
      <c r="M145" s="8">
        <f t="shared" ca="1" si="41"/>
        <v>2.4996194576675946E-2</v>
      </c>
      <c r="N145" s="8">
        <f t="shared" ca="1" si="41"/>
        <v>2.6283139554165648E-2</v>
      </c>
    </row>
    <row r="146" spans="1:14">
      <c r="A146" t="s">
        <v>258</v>
      </c>
      <c r="B146" s="1">
        <f t="shared" si="11"/>
        <v>2.52E-2</v>
      </c>
      <c r="C146" s="8">
        <f t="shared" ref="C146:N146" ca="1" si="42">B146*EXP($B$3*($B$2-B146)+$B$4*NORMSINV(RAND()))</f>
        <v>2.5483765154011077E-2</v>
      </c>
      <c r="D146" s="8">
        <f t="shared" ca="1" si="42"/>
        <v>2.5454539157577612E-2</v>
      </c>
      <c r="E146" s="8">
        <f t="shared" ca="1" si="42"/>
        <v>2.5066259178192551E-2</v>
      </c>
      <c r="F146" s="8">
        <f t="shared" ca="1" si="42"/>
        <v>2.504425166437357E-2</v>
      </c>
      <c r="G146" s="8">
        <f t="shared" ca="1" si="42"/>
        <v>2.4277093081710516E-2</v>
      </c>
      <c r="H146" s="8">
        <f t="shared" ca="1" si="42"/>
        <v>2.2646897320088517E-2</v>
      </c>
      <c r="I146" s="8">
        <f t="shared" ca="1" si="42"/>
        <v>2.2512253353404295E-2</v>
      </c>
      <c r="J146" s="8">
        <f t="shared" ca="1" si="42"/>
        <v>2.1405340887010127E-2</v>
      </c>
      <c r="K146" s="8">
        <f t="shared" ca="1" si="42"/>
        <v>2.2252739232154661E-2</v>
      </c>
      <c r="L146" s="8">
        <f t="shared" ca="1" si="42"/>
        <v>2.2796685629938071E-2</v>
      </c>
      <c r="M146" s="8">
        <f t="shared" ca="1" si="42"/>
        <v>2.3069577358382661E-2</v>
      </c>
      <c r="N146" s="8">
        <f t="shared" ca="1" si="42"/>
        <v>2.276954557371335E-2</v>
      </c>
    </row>
    <row r="147" spans="1:14">
      <c r="A147" t="s">
        <v>259</v>
      </c>
      <c r="B147" s="1">
        <f t="shared" si="11"/>
        <v>2.52E-2</v>
      </c>
      <c r="C147" s="8">
        <f t="shared" ref="C147:N147" ca="1" si="43">B147*EXP($B$3*($B$2-B147)+$B$4*NORMSINV(RAND()))</f>
        <v>2.6037065140773988E-2</v>
      </c>
      <c r="D147" s="8">
        <f t="shared" ca="1" si="43"/>
        <v>2.553814923121769E-2</v>
      </c>
      <c r="E147" s="8">
        <f t="shared" ca="1" si="43"/>
        <v>2.4497233622843635E-2</v>
      </c>
      <c r="F147" s="8">
        <f t="shared" ca="1" si="43"/>
        <v>2.4036913057717296E-2</v>
      </c>
      <c r="G147" s="8">
        <f t="shared" ca="1" si="43"/>
        <v>2.3722487603950196E-2</v>
      </c>
      <c r="H147" s="8">
        <f t="shared" ca="1" si="43"/>
        <v>2.329915299030379E-2</v>
      </c>
      <c r="I147" s="8">
        <f t="shared" ca="1" si="43"/>
        <v>2.3819068113311019E-2</v>
      </c>
      <c r="J147" s="8">
        <f t="shared" ca="1" si="43"/>
        <v>2.4935111293946783E-2</v>
      </c>
      <c r="K147" s="8">
        <f t="shared" ca="1" si="43"/>
        <v>2.5846054014905251E-2</v>
      </c>
      <c r="L147" s="8">
        <f t="shared" ca="1" si="43"/>
        <v>2.6446845213463452E-2</v>
      </c>
      <c r="M147" s="8">
        <f t="shared" ca="1" si="43"/>
        <v>2.7256733941409123E-2</v>
      </c>
      <c r="N147" s="8">
        <f t="shared" ca="1" si="43"/>
        <v>2.8499432885485051E-2</v>
      </c>
    </row>
    <row r="148" spans="1:14">
      <c r="A148" t="s">
        <v>260</v>
      </c>
      <c r="B148" s="1">
        <f t="shared" si="11"/>
        <v>2.52E-2</v>
      </c>
      <c r="C148" s="8">
        <f t="shared" ref="C148:N148" ca="1" si="44">B148*EXP($B$3*($B$2-B148)+$B$4*NORMSINV(RAND()))</f>
        <v>2.5296826013680287E-2</v>
      </c>
      <c r="D148" s="8">
        <f t="shared" ca="1" si="44"/>
        <v>2.538907037097346E-2</v>
      </c>
      <c r="E148" s="8">
        <f t="shared" ca="1" si="44"/>
        <v>2.5312705896945866E-2</v>
      </c>
      <c r="F148" s="8">
        <f t="shared" ca="1" si="44"/>
        <v>2.5096829683185436E-2</v>
      </c>
      <c r="G148" s="8">
        <f t="shared" ca="1" si="44"/>
        <v>2.5551533109095678E-2</v>
      </c>
      <c r="H148" s="8">
        <f t="shared" ca="1" si="44"/>
        <v>2.6362457810608926E-2</v>
      </c>
      <c r="I148" s="8">
        <f t="shared" ca="1" si="44"/>
        <v>2.638671205244204E-2</v>
      </c>
      <c r="J148" s="8">
        <f t="shared" ca="1" si="44"/>
        <v>2.603643489651879E-2</v>
      </c>
      <c r="K148" s="8">
        <f t="shared" ca="1" si="44"/>
        <v>2.5815275322941672E-2</v>
      </c>
      <c r="L148" s="8">
        <f t="shared" ca="1" si="44"/>
        <v>2.6113885958697805E-2</v>
      </c>
      <c r="M148" s="8">
        <f t="shared" ca="1" si="44"/>
        <v>2.4949834540339159E-2</v>
      </c>
      <c r="N148" s="8">
        <f t="shared" ca="1" si="44"/>
        <v>2.4137494598561557E-2</v>
      </c>
    </row>
    <row r="149" spans="1:14">
      <c r="A149" t="s">
        <v>261</v>
      </c>
      <c r="B149" s="1">
        <f t="shared" si="11"/>
        <v>2.52E-2</v>
      </c>
      <c r="C149" s="8">
        <f t="shared" ref="C149:N149" ca="1" si="45">B149*EXP($B$3*($B$2-B149)+$B$4*NORMSINV(RAND()))</f>
        <v>2.4749578398633294E-2</v>
      </c>
      <c r="D149" s="8">
        <f t="shared" ca="1" si="45"/>
        <v>2.3566536583429408E-2</v>
      </c>
      <c r="E149" s="8">
        <f t="shared" ca="1" si="45"/>
        <v>2.3039883040832352E-2</v>
      </c>
      <c r="F149" s="8">
        <f t="shared" ca="1" si="45"/>
        <v>2.2973535141990319E-2</v>
      </c>
      <c r="G149" s="8">
        <f t="shared" ca="1" si="45"/>
        <v>2.3110794883176036E-2</v>
      </c>
      <c r="H149" s="8">
        <f t="shared" ca="1" si="45"/>
        <v>2.2019935494214569E-2</v>
      </c>
      <c r="I149" s="8">
        <f t="shared" ca="1" si="45"/>
        <v>2.1934858013447026E-2</v>
      </c>
      <c r="J149" s="8">
        <f t="shared" ca="1" si="45"/>
        <v>2.1466614898456176E-2</v>
      </c>
      <c r="K149" s="8">
        <f t="shared" ca="1" si="45"/>
        <v>2.1119585639605382E-2</v>
      </c>
      <c r="L149" s="8">
        <f t="shared" ca="1" si="45"/>
        <v>2.1925760053755593E-2</v>
      </c>
      <c r="M149" s="8">
        <f t="shared" ca="1" si="45"/>
        <v>2.2427875140714166E-2</v>
      </c>
      <c r="N149" s="8">
        <f t="shared" ca="1" si="45"/>
        <v>2.221916951088616E-2</v>
      </c>
    </row>
    <row r="150" spans="1:14">
      <c r="A150" t="s">
        <v>262</v>
      </c>
      <c r="B150" s="1">
        <f t="shared" si="11"/>
        <v>2.52E-2</v>
      </c>
      <c r="C150" s="8">
        <f t="shared" ref="C150:N150" ca="1" si="46">B150*EXP($B$3*($B$2-B150)+$B$4*NORMSINV(RAND()))</f>
        <v>2.5006587708162591E-2</v>
      </c>
      <c r="D150" s="8">
        <f t="shared" ca="1" si="46"/>
        <v>2.4793776414386147E-2</v>
      </c>
      <c r="E150" s="8">
        <f t="shared" ca="1" si="46"/>
        <v>2.4268160597682373E-2</v>
      </c>
      <c r="F150" s="8">
        <f t="shared" ca="1" si="46"/>
        <v>2.2745391201280919E-2</v>
      </c>
      <c r="G150" s="8">
        <f t="shared" ca="1" si="46"/>
        <v>2.3318909300016528E-2</v>
      </c>
      <c r="H150" s="8">
        <f t="shared" ca="1" si="46"/>
        <v>2.3357291189085479E-2</v>
      </c>
      <c r="I150" s="8">
        <f t="shared" ca="1" si="46"/>
        <v>2.4004030750117498E-2</v>
      </c>
      <c r="J150" s="8">
        <f t="shared" ca="1" si="46"/>
        <v>2.4578168896948058E-2</v>
      </c>
      <c r="K150" s="8">
        <f t="shared" ca="1" si="46"/>
        <v>2.5326394529560335E-2</v>
      </c>
      <c r="L150" s="8">
        <f t="shared" ca="1" si="46"/>
        <v>2.4798237684170592E-2</v>
      </c>
      <c r="M150" s="8">
        <f t="shared" ca="1" si="46"/>
        <v>2.3772492895877347E-2</v>
      </c>
      <c r="N150" s="8">
        <f t="shared" ca="1" si="46"/>
        <v>2.4345231164428174E-2</v>
      </c>
    </row>
    <row r="151" spans="1:14">
      <c r="A151" t="s">
        <v>263</v>
      </c>
      <c r="B151" s="1">
        <f t="shared" si="11"/>
        <v>2.52E-2</v>
      </c>
      <c r="C151" s="8">
        <f t="shared" ref="C151:N151" ca="1" si="47">B151*EXP($B$3*($B$2-B151)+$B$4*NORMSINV(RAND()))</f>
        <v>2.430117448384678E-2</v>
      </c>
      <c r="D151" s="8">
        <f t="shared" ca="1" si="47"/>
        <v>2.4381302338591426E-2</v>
      </c>
      <c r="E151" s="8">
        <f t="shared" ca="1" si="47"/>
        <v>2.4006608152833054E-2</v>
      </c>
      <c r="F151" s="8">
        <f t="shared" ca="1" si="47"/>
        <v>2.4373881870414921E-2</v>
      </c>
      <c r="G151" s="8">
        <f t="shared" ca="1" si="47"/>
        <v>2.4594472141979368E-2</v>
      </c>
      <c r="H151" s="8">
        <f t="shared" ca="1" si="47"/>
        <v>2.3910591077540025E-2</v>
      </c>
      <c r="I151" s="8">
        <f t="shared" ca="1" si="47"/>
        <v>2.3515046134060601E-2</v>
      </c>
      <c r="J151" s="8">
        <f t="shared" ca="1" si="47"/>
        <v>2.3996790059665887E-2</v>
      </c>
      <c r="K151" s="8">
        <f t="shared" ca="1" si="47"/>
        <v>2.3442441834701979E-2</v>
      </c>
      <c r="L151" s="8">
        <f t="shared" ca="1" si="47"/>
        <v>2.2824617204852602E-2</v>
      </c>
      <c r="M151" s="8">
        <f t="shared" ca="1" si="47"/>
        <v>2.2746884965160093E-2</v>
      </c>
      <c r="N151" s="8">
        <f t="shared" ca="1" si="47"/>
        <v>2.2457574317966741E-2</v>
      </c>
    </row>
    <row r="152" spans="1:14">
      <c r="A152" t="s">
        <v>264</v>
      </c>
      <c r="B152" s="1">
        <f t="shared" si="11"/>
        <v>2.52E-2</v>
      </c>
      <c r="C152" s="8">
        <f t="shared" ref="C152:N152" ca="1" si="48">B152*EXP($B$3*($B$2-B152)+$B$4*NORMSINV(RAND()))</f>
        <v>2.5525141951470154E-2</v>
      </c>
      <c r="D152" s="8">
        <f t="shared" ca="1" si="48"/>
        <v>2.3981516798830926E-2</v>
      </c>
      <c r="E152" s="8">
        <f t="shared" ca="1" si="48"/>
        <v>2.2592030393800314E-2</v>
      </c>
      <c r="F152" s="8">
        <f t="shared" ca="1" si="48"/>
        <v>2.2762263321582179E-2</v>
      </c>
      <c r="G152" s="8">
        <f t="shared" ca="1" si="48"/>
        <v>2.2287552897130979E-2</v>
      </c>
      <c r="H152" s="8">
        <f t="shared" ca="1" si="48"/>
        <v>2.2620369966939963E-2</v>
      </c>
      <c r="I152" s="8">
        <f t="shared" ca="1" si="48"/>
        <v>2.2440839354254897E-2</v>
      </c>
      <c r="J152" s="8">
        <f t="shared" ca="1" si="48"/>
        <v>2.2041793229145304E-2</v>
      </c>
      <c r="K152" s="8">
        <f t="shared" ca="1" si="48"/>
        <v>2.2959321050643758E-2</v>
      </c>
      <c r="L152" s="8">
        <f t="shared" ca="1" si="48"/>
        <v>2.2752093579883354E-2</v>
      </c>
      <c r="M152" s="8">
        <f t="shared" ca="1" si="48"/>
        <v>2.2996961506560734E-2</v>
      </c>
      <c r="N152" s="8">
        <f t="shared" ca="1" si="48"/>
        <v>2.2172238602009599E-2</v>
      </c>
    </row>
    <row r="153" spans="1:14">
      <c r="A153" t="s">
        <v>265</v>
      </c>
      <c r="B153" s="1">
        <f t="shared" si="11"/>
        <v>2.52E-2</v>
      </c>
      <c r="C153" s="8">
        <f t="shared" ref="C153:N153" ca="1" si="49">B153*EXP($B$3*($B$2-B153)+$B$4*NORMSINV(RAND()))</f>
        <v>2.44709983913916E-2</v>
      </c>
      <c r="D153" s="8">
        <f t="shared" ca="1" si="49"/>
        <v>2.5080187407326645E-2</v>
      </c>
      <c r="E153" s="8">
        <f t="shared" ca="1" si="49"/>
        <v>2.5472518962006221E-2</v>
      </c>
      <c r="F153" s="8">
        <f t="shared" ca="1" si="49"/>
        <v>2.6823962901191285E-2</v>
      </c>
      <c r="G153" s="8">
        <f t="shared" ca="1" si="49"/>
        <v>2.6530341837101023E-2</v>
      </c>
      <c r="H153" s="8">
        <f t="shared" ca="1" si="49"/>
        <v>2.674127234259821E-2</v>
      </c>
      <c r="I153" s="8">
        <f t="shared" ca="1" si="49"/>
        <v>2.6927717501141445E-2</v>
      </c>
      <c r="J153" s="8">
        <f t="shared" ca="1" si="49"/>
        <v>2.7170665064735162E-2</v>
      </c>
      <c r="K153" s="8">
        <f t="shared" ca="1" si="49"/>
        <v>2.6818719166784018E-2</v>
      </c>
      <c r="L153" s="8">
        <f t="shared" ca="1" si="49"/>
        <v>2.7518894619768995E-2</v>
      </c>
      <c r="M153" s="8">
        <f t="shared" ca="1" si="49"/>
        <v>2.7925897465789221E-2</v>
      </c>
      <c r="N153" s="8">
        <f t="shared" ca="1" si="49"/>
        <v>2.7644915372891793E-2</v>
      </c>
    </row>
    <row r="154" spans="1:14">
      <c r="A154" t="s">
        <v>266</v>
      </c>
      <c r="B154" s="1">
        <f t="shared" si="11"/>
        <v>2.52E-2</v>
      </c>
      <c r="C154" s="8">
        <f t="shared" ref="C154:N154" ca="1" si="50">B154*EXP($B$3*($B$2-B154)+$B$4*NORMSINV(RAND()))</f>
        <v>2.5724411200087657E-2</v>
      </c>
      <c r="D154" s="8">
        <f t="shared" ca="1" si="50"/>
        <v>2.7206078276715236E-2</v>
      </c>
      <c r="E154" s="8">
        <f t="shared" ca="1" si="50"/>
        <v>2.6704013228346313E-2</v>
      </c>
      <c r="F154" s="8">
        <f t="shared" ca="1" si="50"/>
        <v>2.6978031872457505E-2</v>
      </c>
      <c r="G154" s="8">
        <f t="shared" ca="1" si="50"/>
        <v>2.7070315479232946E-2</v>
      </c>
      <c r="H154" s="8">
        <f t="shared" ca="1" si="50"/>
        <v>2.7409783814584789E-2</v>
      </c>
      <c r="I154" s="8">
        <f t="shared" ca="1" si="50"/>
        <v>2.8112083447454354E-2</v>
      </c>
      <c r="J154" s="8">
        <f t="shared" ca="1" si="50"/>
        <v>2.6736658794767592E-2</v>
      </c>
      <c r="K154" s="8">
        <f t="shared" ca="1" si="50"/>
        <v>2.7421000813594856E-2</v>
      </c>
      <c r="L154" s="8">
        <f t="shared" ca="1" si="50"/>
        <v>2.7302778004688017E-2</v>
      </c>
      <c r="M154" s="8">
        <f t="shared" ca="1" si="50"/>
        <v>2.7332502940404155E-2</v>
      </c>
      <c r="N154" s="8">
        <f t="shared" ca="1" si="50"/>
        <v>2.7307679355818622E-2</v>
      </c>
    </row>
    <row r="155" spans="1:14">
      <c r="A155" t="s">
        <v>267</v>
      </c>
      <c r="B155" s="1">
        <f t="shared" si="11"/>
        <v>2.52E-2</v>
      </c>
      <c r="C155" s="8">
        <f t="shared" ref="C155:N155" ca="1" si="51">B155*EXP($B$3*($B$2-B155)+$B$4*NORMSINV(RAND()))</f>
        <v>2.4548124991128347E-2</v>
      </c>
      <c r="D155" s="8">
        <f t="shared" ca="1" si="51"/>
        <v>2.485390676486271E-2</v>
      </c>
      <c r="E155" s="8">
        <f t="shared" ca="1" si="51"/>
        <v>2.5433283373901938E-2</v>
      </c>
      <c r="F155" s="8">
        <f t="shared" ca="1" si="51"/>
        <v>2.5516365151422072E-2</v>
      </c>
      <c r="G155" s="8">
        <f t="shared" ca="1" si="51"/>
        <v>2.5376153718046138E-2</v>
      </c>
      <c r="H155" s="8">
        <f t="shared" ca="1" si="51"/>
        <v>2.6027143992937447E-2</v>
      </c>
      <c r="I155" s="8">
        <f t="shared" ca="1" si="51"/>
        <v>2.6632888702974793E-2</v>
      </c>
      <c r="J155" s="8">
        <f t="shared" ca="1" si="51"/>
        <v>2.7232200115540676E-2</v>
      </c>
      <c r="K155" s="8">
        <f t="shared" ca="1" si="51"/>
        <v>2.8266833447397194E-2</v>
      </c>
      <c r="L155" s="8">
        <f t="shared" ca="1" si="51"/>
        <v>2.7420059219890994E-2</v>
      </c>
      <c r="M155" s="8">
        <f t="shared" ca="1" si="51"/>
        <v>2.6251974583898011E-2</v>
      </c>
      <c r="N155" s="8">
        <f t="shared" ca="1" si="51"/>
        <v>2.4925610743142743E-2</v>
      </c>
    </row>
    <row r="156" spans="1:14">
      <c r="A156" t="s">
        <v>268</v>
      </c>
      <c r="B156" s="1">
        <f t="shared" si="11"/>
        <v>2.52E-2</v>
      </c>
      <c r="C156" s="8">
        <f t="shared" ref="C156:N156" ca="1" si="52">B156*EXP($B$3*($B$2-B156)+$B$4*NORMSINV(RAND()))</f>
        <v>2.5509060547522527E-2</v>
      </c>
      <c r="D156" s="8">
        <f t="shared" ca="1" si="52"/>
        <v>2.4817805120562975E-2</v>
      </c>
      <c r="E156" s="8">
        <f t="shared" ca="1" si="52"/>
        <v>2.4543748762307763E-2</v>
      </c>
      <c r="F156" s="8">
        <f t="shared" ca="1" si="52"/>
        <v>2.4234371521021317E-2</v>
      </c>
      <c r="G156" s="8">
        <f t="shared" ca="1" si="52"/>
        <v>2.4245668864851255E-2</v>
      </c>
      <c r="H156" s="8">
        <f t="shared" ca="1" si="52"/>
        <v>2.3872253851609099E-2</v>
      </c>
      <c r="I156" s="8">
        <f t="shared" ca="1" si="52"/>
        <v>2.299010446027891E-2</v>
      </c>
      <c r="J156" s="8">
        <f t="shared" ca="1" si="52"/>
        <v>2.2807070081117355E-2</v>
      </c>
      <c r="K156" s="8">
        <f t="shared" ca="1" si="52"/>
        <v>2.2684959799817415E-2</v>
      </c>
      <c r="L156" s="8">
        <f t="shared" ca="1" si="52"/>
        <v>2.2436266136372021E-2</v>
      </c>
      <c r="M156" s="8">
        <f t="shared" ca="1" si="52"/>
        <v>2.3232357809678954E-2</v>
      </c>
      <c r="N156" s="8">
        <f t="shared" ca="1" si="52"/>
        <v>2.3209990794100143E-2</v>
      </c>
    </row>
    <row r="157" spans="1:14">
      <c r="A157" t="s">
        <v>269</v>
      </c>
      <c r="B157" s="1">
        <f t="shared" si="11"/>
        <v>2.52E-2</v>
      </c>
      <c r="C157" s="8">
        <f t="shared" ref="C157:N157" ca="1" si="53">B157*EXP($B$3*($B$2-B157)+$B$4*NORMSINV(RAND()))</f>
        <v>2.442580182152173E-2</v>
      </c>
      <c r="D157" s="8">
        <f t="shared" ca="1" si="53"/>
        <v>2.4491009953759503E-2</v>
      </c>
      <c r="E157" s="8">
        <f t="shared" ca="1" si="53"/>
        <v>2.4334332607490468E-2</v>
      </c>
      <c r="F157" s="8">
        <f t="shared" ca="1" si="53"/>
        <v>2.3708326630041892E-2</v>
      </c>
      <c r="G157" s="8">
        <f t="shared" ca="1" si="53"/>
        <v>2.6589732742036996E-2</v>
      </c>
      <c r="H157" s="8">
        <f t="shared" ca="1" si="53"/>
        <v>2.7279692624069634E-2</v>
      </c>
      <c r="I157" s="8">
        <f t="shared" ca="1" si="53"/>
        <v>2.8170980773597133E-2</v>
      </c>
      <c r="J157" s="8">
        <f t="shared" ca="1" si="53"/>
        <v>2.7653213182867866E-2</v>
      </c>
      <c r="K157" s="8">
        <f t="shared" ca="1" si="53"/>
        <v>2.7583774955633949E-2</v>
      </c>
      <c r="L157" s="8">
        <f t="shared" ca="1" si="53"/>
        <v>2.7483531299641428E-2</v>
      </c>
      <c r="M157" s="8">
        <f t="shared" ca="1" si="53"/>
        <v>2.8578704555139563E-2</v>
      </c>
      <c r="N157" s="8">
        <f t="shared" ca="1" si="53"/>
        <v>2.7166320540463779E-2</v>
      </c>
    </row>
    <row r="158" spans="1:14">
      <c r="A158" t="s">
        <v>270</v>
      </c>
      <c r="B158" s="1">
        <f t="shared" si="11"/>
        <v>2.52E-2</v>
      </c>
      <c r="C158" s="8">
        <f t="shared" ref="C158:N158" ca="1" si="54">B158*EXP($B$3*($B$2-B158)+$B$4*NORMSINV(RAND()))</f>
        <v>2.5458694668790915E-2</v>
      </c>
      <c r="D158" s="8">
        <f t="shared" ca="1" si="54"/>
        <v>2.5916854763742028E-2</v>
      </c>
      <c r="E158" s="8">
        <f t="shared" ca="1" si="54"/>
        <v>2.7119558083499858E-2</v>
      </c>
      <c r="F158" s="8">
        <f t="shared" ca="1" si="54"/>
        <v>2.6484799776341099E-2</v>
      </c>
      <c r="G158" s="8">
        <f t="shared" ca="1" si="54"/>
        <v>2.5705728298135874E-2</v>
      </c>
      <c r="H158" s="8">
        <f t="shared" ca="1" si="54"/>
        <v>2.6120663659394965E-2</v>
      </c>
      <c r="I158" s="8">
        <f t="shared" ca="1" si="54"/>
        <v>2.5902375250302201E-2</v>
      </c>
      <c r="J158" s="8">
        <f t="shared" ca="1" si="54"/>
        <v>2.5983565471188835E-2</v>
      </c>
      <c r="K158" s="8">
        <f t="shared" ca="1" si="54"/>
        <v>2.6868775248649723E-2</v>
      </c>
      <c r="L158" s="8">
        <f t="shared" ca="1" si="54"/>
        <v>2.7294822735554964E-2</v>
      </c>
      <c r="M158" s="8">
        <f t="shared" ca="1" si="54"/>
        <v>2.616557894157567E-2</v>
      </c>
      <c r="N158" s="8">
        <f t="shared" ca="1" si="54"/>
        <v>2.5469402057954945E-2</v>
      </c>
    </row>
    <row r="159" spans="1:14">
      <c r="A159" t="s">
        <v>271</v>
      </c>
      <c r="B159" s="1">
        <f t="shared" si="11"/>
        <v>2.52E-2</v>
      </c>
      <c r="C159" s="8">
        <f t="shared" ref="C159:N159" ca="1" si="55">B159*EXP($B$3*($B$2-B159)+$B$4*NORMSINV(RAND()))</f>
        <v>2.5088701057430274E-2</v>
      </c>
      <c r="D159" s="8">
        <f t="shared" ca="1" si="55"/>
        <v>2.5349621502829441E-2</v>
      </c>
      <c r="E159" s="8">
        <f t="shared" ca="1" si="55"/>
        <v>2.5447605479602977E-2</v>
      </c>
      <c r="F159" s="8">
        <f t="shared" ca="1" si="55"/>
        <v>2.5793982256926043E-2</v>
      </c>
      <c r="G159" s="8">
        <f t="shared" ca="1" si="55"/>
        <v>2.6726057569143962E-2</v>
      </c>
      <c r="H159" s="8">
        <f t="shared" ca="1" si="55"/>
        <v>2.6408191883217278E-2</v>
      </c>
      <c r="I159" s="8">
        <f t="shared" ca="1" si="55"/>
        <v>2.6181568513239682E-2</v>
      </c>
      <c r="J159" s="8">
        <f t="shared" ca="1" si="55"/>
        <v>2.6993134081135156E-2</v>
      </c>
      <c r="K159" s="8">
        <f t="shared" ca="1" si="55"/>
        <v>2.6055469704633172E-2</v>
      </c>
      <c r="L159" s="8">
        <f t="shared" ca="1" si="55"/>
        <v>2.5858118244788231E-2</v>
      </c>
      <c r="M159" s="8">
        <f t="shared" ca="1" si="55"/>
        <v>2.4905034118843788E-2</v>
      </c>
      <c r="N159" s="8">
        <f t="shared" ca="1" si="55"/>
        <v>2.4179070680217719E-2</v>
      </c>
    </row>
    <row r="160" spans="1:14">
      <c r="A160" t="s">
        <v>272</v>
      </c>
      <c r="B160" s="1">
        <f t="shared" si="11"/>
        <v>2.52E-2</v>
      </c>
      <c r="C160" s="8">
        <f t="shared" ref="C160:N160" ca="1" si="56">B160*EXP($B$3*($B$2-B160)+$B$4*NORMSINV(RAND()))</f>
        <v>2.3802302796599274E-2</v>
      </c>
      <c r="D160" s="8">
        <f t="shared" ca="1" si="56"/>
        <v>2.3669795792449391E-2</v>
      </c>
      <c r="E160" s="8">
        <f t="shared" ca="1" si="56"/>
        <v>2.5211891906441276E-2</v>
      </c>
      <c r="F160" s="8">
        <f t="shared" ca="1" si="56"/>
        <v>2.4409462773053003E-2</v>
      </c>
      <c r="G160" s="8">
        <f t="shared" ca="1" si="56"/>
        <v>2.4691948118657478E-2</v>
      </c>
      <c r="H160" s="8">
        <f t="shared" ca="1" si="56"/>
        <v>2.4999606768591691E-2</v>
      </c>
      <c r="I160" s="8">
        <f t="shared" ca="1" si="56"/>
        <v>2.4278236914815218E-2</v>
      </c>
      <c r="J160" s="8">
        <f t="shared" ca="1" si="56"/>
        <v>2.426086302766611E-2</v>
      </c>
      <c r="K160" s="8">
        <f t="shared" ca="1" si="56"/>
        <v>2.4181604888778633E-2</v>
      </c>
      <c r="L160" s="8">
        <f t="shared" ca="1" si="56"/>
        <v>2.4490988231646745E-2</v>
      </c>
      <c r="M160" s="8">
        <f t="shared" ca="1" si="56"/>
        <v>2.4177256492728668E-2</v>
      </c>
      <c r="N160" s="8">
        <f t="shared" ca="1" si="56"/>
        <v>2.4763482130344058E-2</v>
      </c>
    </row>
    <row r="161" spans="1:14">
      <c r="A161" t="s">
        <v>273</v>
      </c>
      <c r="B161" s="1">
        <f t="shared" si="11"/>
        <v>2.52E-2</v>
      </c>
      <c r="C161" s="8">
        <f t="shared" ref="C161:N161" ca="1" si="57">B161*EXP($B$3*($B$2-B161)+$B$4*NORMSINV(RAND()))</f>
        <v>2.4202483740798805E-2</v>
      </c>
      <c r="D161" s="8">
        <f t="shared" ca="1" si="57"/>
        <v>2.4351280620656199E-2</v>
      </c>
      <c r="E161" s="8">
        <f t="shared" ca="1" si="57"/>
        <v>2.3969575525068138E-2</v>
      </c>
      <c r="F161" s="8">
        <f t="shared" ca="1" si="57"/>
        <v>2.5741201891341017E-2</v>
      </c>
      <c r="G161" s="8">
        <f t="shared" ca="1" si="57"/>
        <v>2.6064138070308097E-2</v>
      </c>
      <c r="H161" s="8">
        <f t="shared" ca="1" si="57"/>
        <v>2.5847672644387681E-2</v>
      </c>
      <c r="I161" s="8">
        <f t="shared" ca="1" si="57"/>
        <v>2.5547607530111958E-2</v>
      </c>
      <c r="J161" s="8">
        <f t="shared" ca="1" si="57"/>
        <v>2.5770538108577015E-2</v>
      </c>
      <c r="K161" s="8">
        <f t="shared" ca="1" si="57"/>
        <v>2.6862932403435943E-2</v>
      </c>
      <c r="L161" s="8">
        <f t="shared" ca="1" si="57"/>
        <v>2.6610436803393339E-2</v>
      </c>
      <c r="M161" s="8">
        <f t="shared" ca="1" si="57"/>
        <v>2.5650746288586393E-2</v>
      </c>
      <c r="N161" s="8">
        <f t="shared" ca="1" si="57"/>
        <v>2.4846805849007645E-2</v>
      </c>
    </row>
    <row r="162" spans="1:14">
      <c r="A162" t="s">
        <v>274</v>
      </c>
      <c r="B162" s="1">
        <f t="shared" si="11"/>
        <v>2.52E-2</v>
      </c>
      <c r="C162" s="8">
        <f t="shared" ref="C162:N162" ca="1" si="58">B162*EXP($B$3*($B$2-B162)+$B$4*NORMSINV(RAND()))</f>
        <v>2.592673150367843E-2</v>
      </c>
      <c r="D162" s="8">
        <f t="shared" ca="1" si="58"/>
        <v>2.616342784873936E-2</v>
      </c>
      <c r="E162" s="8">
        <f t="shared" ca="1" si="58"/>
        <v>2.7773605352608824E-2</v>
      </c>
      <c r="F162" s="8">
        <f t="shared" ca="1" si="58"/>
        <v>2.8100573879420204E-2</v>
      </c>
      <c r="G162" s="8">
        <f t="shared" ca="1" si="58"/>
        <v>2.895215190175153E-2</v>
      </c>
      <c r="H162" s="8">
        <f t="shared" ca="1" si="58"/>
        <v>2.8573592944389416E-2</v>
      </c>
      <c r="I162" s="8">
        <f t="shared" ca="1" si="58"/>
        <v>2.8122011157057075E-2</v>
      </c>
      <c r="J162" s="8">
        <f t="shared" ca="1" si="58"/>
        <v>2.9287076922597334E-2</v>
      </c>
      <c r="K162" s="8">
        <f t="shared" ca="1" si="58"/>
        <v>2.9185145007116768E-2</v>
      </c>
      <c r="L162" s="8">
        <f t="shared" ca="1" si="58"/>
        <v>2.8776057139053794E-2</v>
      </c>
      <c r="M162" s="8">
        <f t="shared" ca="1" si="58"/>
        <v>2.9521840726731918E-2</v>
      </c>
      <c r="N162" s="8">
        <f t="shared" ca="1" si="58"/>
        <v>2.9908554268979669E-2</v>
      </c>
    </row>
    <row r="163" spans="1:14">
      <c r="A163" t="s">
        <v>275</v>
      </c>
      <c r="B163" s="1">
        <f t="shared" si="11"/>
        <v>2.52E-2</v>
      </c>
      <c r="C163" s="8">
        <f t="shared" ref="C163:N163" ca="1" si="59">B163*EXP($B$3*($B$2-B163)+$B$4*NORMSINV(RAND()))</f>
        <v>2.3008229285504046E-2</v>
      </c>
      <c r="D163" s="8">
        <f t="shared" ca="1" si="59"/>
        <v>2.2918474149146141E-2</v>
      </c>
      <c r="E163" s="8">
        <f t="shared" ca="1" si="59"/>
        <v>2.3251215480228581E-2</v>
      </c>
      <c r="F163" s="8">
        <f t="shared" ca="1" si="59"/>
        <v>2.2583656684588321E-2</v>
      </c>
      <c r="G163" s="8">
        <f t="shared" ca="1" si="59"/>
        <v>2.1283560003858344E-2</v>
      </c>
      <c r="H163" s="8">
        <f t="shared" ca="1" si="59"/>
        <v>2.143908858798255E-2</v>
      </c>
      <c r="I163" s="8">
        <f t="shared" ca="1" si="59"/>
        <v>2.0412905751821555E-2</v>
      </c>
      <c r="J163" s="8">
        <f t="shared" ca="1" si="59"/>
        <v>2.0892141678718956E-2</v>
      </c>
      <c r="K163" s="8">
        <f t="shared" ca="1" si="59"/>
        <v>2.018311500783096E-2</v>
      </c>
      <c r="L163" s="8">
        <f t="shared" ca="1" si="59"/>
        <v>2.0991879288908936E-2</v>
      </c>
      <c r="M163" s="8">
        <f t="shared" ca="1" si="59"/>
        <v>2.1673962938483282E-2</v>
      </c>
      <c r="N163" s="8">
        <f t="shared" ca="1" si="59"/>
        <v>2.1375036977275656E-2</v>
      </c>
    </row>
    <row r="164" spans="1:14">
      <c r="A164" t="s">
        <v>276</v>
      </c>
      <c r="B164" s="1">
        <f t="shared" si="11"/>
        <v>2.52E-2</v>
      </c>
      <c r="C164" s="8">
        <f t="shared" ref="C164:N164" ca="1" si="60">B164*EXP($B$3*($B$2-B164)+$B$4*NORMSINV(RAND()))</f>
        <v>2.5877110219103737E-2</v>
      </c>
      <c r="D164" s="8">
        <f t="shared" ca="1" si="60"/>
        <v>2.7083957742330314E-2</v>
      </c>
      <c r="E164" s="8">
        <f t="shared" ca="1" si="60"/>
        <v>2.6378766924736494E-2</v>
      </c>
      <c r="F164" s="8">
        <f t="shared" ca="1" si="60"/>
        <v>2.6349458733737986E-2</v>
      </c>
      <c r="G164" s="8">
        <f t="shared" ca="1" si="60"/>
        <v>2.6367509613525329E-2</v>
      </c>
      <c r="H164" s="8">
        <f t="shared" ca="1" si="60"/>
        <v>2.7268594290528681E-2</v>
      </c>
      <c r="I164" s="8">
        <f t="shared" ca="1" si="60"/>
        <v>2.6693380749055761E-2</v>
      </c>
      <c r="J164" s="8">
        <f t="shared" ca="1" si="60"/>
        <v>2.7923211511837513E-2</v>
      </c>
      <c r="K164" s="8">
        <f t="shared" ca="1" si="60"/>
        <v>2.7907102440889835E-2</v>
      </c>
      <c r="L164" s="8">
        <f t="shared" ca="1" si="60"/>
        <v>2.7772907322763808E-2</v>
      </c>
      <c r="M164" s="8">
        <f t="shared" ca="1" si="60"/>
        <v>2.6881047055287811E-2</v>
      </c>
      <c r="N164" s="8">
        <f t="shared" ca="1" si="60"/>
        <v>2.6951965669441757E-2</v>
      </c>
    </row>
    <row r="165" spans="1:14">
      <c r="A165" t="s">
        <v>277</v>
      </c>
      <c r="B165" s="1">
        <f t="shared" si="11"/>
        <v>2.52E-2</v>
      </c>
      <c r="C165" s="8">
        <f t="shared" ref="C165:N165" ca="1" si="61">B165*EXP($B$3*($B$2-B165)+$B$4*NORMSINV(RAND()))</f>
        <v>2.5719951958474169E-2</v>
      </c>
      <c r="D165" s="8">
        <f t="shared" ca="1" si="61"/>
        <v>2.5269681224467658E-2</v>
      </c>
      <c r="E165" s="8">
        <f t="shared" ca="1" si="61"/>
        <v>2.4519246679715345E-2</v>
      </c>
      <c r="F165" s="8">
        <f t="shared" ca="1" si="61"/>
        <v>2.5407063583201876E-2</v>
      </c>
      <c r="G165" s="8">
        <f t="shared" ca="1" si="61"/>
        <v>2.5142887309738866E-2</v>
      </c>
      <c r="H165" s="8">
        <f t="shared" ca="1" si="61"/>
        <v>2.485010724419642E-2</v>
      </c>
      <c r="I165" s="8">
        <f t="shared" ca="1" si="61"/>
        <v>2.333236658803781E-2</v>
      </c>
      <c r="J165" s="8">
        <f t="shared" ca="1" si="61"/>
        <v>2.3374990873144055E-2</v>
      </c>
      <c r="K165" s="8">
        <f t="shared" ca="1" si="61"/>
        <v>2.3438203598158461E-2</v>
      </c>
      <c r="L165" s="8">
        <f t="shared" ca="1" si="61"/>
        <v>2.2703173261043531E-2</v>
      </c>
      <c r="M165" s="8">
        <f t="shared" ca="1" si="61"/>
        <v>2.2632791639430133E-2</v>
      </c>
      <c r="N165" s="8">
        <f t="shared" ca="1" si="61"/>
        <v>2.2142899188302135E-2</v>
      </c>
    </row>
    <row r="166" spans="1:14">
      <c r="A166" t="s">
        <v>278</v>
      </c>
      <c r="B166" s="1">
        <f t="shared" si="11"/>
        <v>2.52E-2</v>
      </c>
      <c r="C166" s="8">
        <f t="shared" ref="C166:N166" ca="1" si="62">B166*EXP($B$3*($B$2-B166)+$B$4*NORMSINV(RAND()))</f>
        <v>2.58079255809925E-2</v>
      </c>
      <c r="D166" s="8">
        <f t="shared" ca="1" si="62"/>
        <v>2.5537428256471432E-2</v>
      </c>
      <c r="E166" s="8">
        <f t="shared" ca="1" si="62"/>
        <v>2.6682418335200481E-2</v>
      </c>
      <c r="F166" s="8">
        <f t="shared" ca="1" si="62"/>
        <v>2.7205464380259715E-2</v>
      </c>
      <c r="G166" s="8">
        <f t="shared" ca="1" si="62"/>
        <v>2.7563295199710236E-2</v>
      </c>
      <c r="H166" s="8">
        <f t="shared" ca="1" si="62"/>
        <v>2.6775830720360279E-2</v>
      </c>
      <c r="I166" s="8">
        <f t="shared" ca="1" si="62"/>
        <v>2.604660561226059E-2</v>
      </c>
      <c r="J166" s="8">
        <f t="shared" ca="1" si="62"/>
        <v>2.5340585971872769E-2</v>
      </c>
      <c r="K166" s="8">
        <f t="shared" ca="1" si="62"/>
        <v>2.5332601096107511E-2</v>
      </c>
      <c r="L166" s="8">
        <f t="shared" ca="1" si="62"/>
        <v>2.5349677732494347E-2</v>
      </c>
      <c r="M166" s="8">
        <f t="shared" ca="1" si="62"/>
        <v>2.481917212778309E-2</v>
      </c>
      <c r="N166" s="8">
        <f t="shared" ca="1" si="62"/>
        <v>2.4492470787965844E-2</v>
      </c>
    </row>
    <row r="167" spans="1:14">
      <c r="A167" t="s">
        <v>279</v>
      </c>
      <c r="B167" s="1">
        <f t="shared" si="11"/>
        <v>2.52E-2</v>
      </c>
      <c r="C167" s="8">
        <f t="shared" ref="C167:N167" ca="1" si="63">B167*EXP($B$3*($B$2-B167)+$B$4*NORMSINV(RAND()))</f>
        <v>2.5942547731485091E-2</v>
      </c>
      <c r="D167" s="8">
        <f t="shared" ca="1" si="63"/>
        <v>2.6679446309209154E-2</v>
      </c>
      <c r="E167" s="8">
        <f t="shared" ca="1" si="63"/>
        <v>2.7045448207479776E-2</v>
      </c>
      <c r="F167" s="8">
        <f t="shared" ca="1" si="63"/>
        <v>2.704144115412041E-2</v>
      </c>
      <c r="G167" s="8">
        <f t="shared" ca="1" si="63"/>
        <v>2.7721434423902021E-2</v>
      </c>
      <c r="H167" s="8">
        <f t="shared" ca="1" si="63"/>
        <v>2.7796680635729463E-2</v>
      </c>
      <c r="I167" s="8">
        <f t="shared" ca="1" si="63"/>
        <v>2.8289109462321934E-2</v>
      </c>
      <c r="J167" s="8">
        <f t="shared" ca="1" si="63"/>
        <v>2.7241572923754124E-2</v>
      </c>
      <c r="K167" s="8">
        <f t="shared" ca="1" si="63"/>
        <v>2.8219061617507715E-2</v>
      </c>
      <c r="L167" s="8">
        <f t="shared" ca="1" si="63"/>
        <v>2.7583110443065873E-2</v>
      </c>
      <c r="M167" s="8">
        <f t="shared" ca="1" si="63"/>
        <v>2.7755069371481918E-2</v>
      </c>
      <c r="N167" s="8">
        <f t="shared" ca="1" si="63"/>
        <v>2.8196629583887516E-2</v>
      </c>
    </row>
    <row r="168" spans="1:14">
      <c r="A168" t="s">
        <v>280</v>
      </c>
      <c r="B168" s="1">
        <f t="shared" si="11"/>
        <v>2.52E-2</v>
      </c>
      <c r="C168" s="8">
        <f t="shared" ref="C168:N168" ca="1" si="64">B168*EXP($B$3*($B$2-B168)+$B$4*NORMSINV(RAND()))</f>
        <v>2.4609229740745846E-2</v>
      </c>
      <c r="D168" s="8">
        <f t="shared" ca="1" si="64"/>
        <v>2.4263273703693581E-2</v>
      </c>
      <c r="E168" s="8">
        <f t="shared" ca="1" si="64"/>
        <v>2.3489494631773657E-2</v>
      </c>
      <c r="F168" s="8">
        <f t="shared" ca="1" si="64"/>
        <v>2.3922537090150586E-2</v>
      </c>
      <c r="G168" s="8">
        <f t="shared" ca="1" si="64"/>
        <v>2.2924927301370319E-2</v>
      </c>
      <c r="H168" s="8">
        <f t="shared" ca="1" si="64"/>
        <v>2.3464062509774074E-2</v>
      </c>
      <c r="I168" s="8">
        <f t="shared" ca="1" si="64"/>
        <v>2.3241438501895618E-2</v>
      </c>
      <c r="J168" s="8">
        <f t="shared" ca="1" si="64"/>
        <v>2.2402518662028626E-2</v>
      </c>
      <c r="K168" s="8">
        <f t="shared" ca="1" si="64"/>
        <v>2.2225903901544036E-2</v>
      </c>
      <c r="L168" s="8">
        <f t="shared" ca="1" si="64"/>
        <v>2.1832284193089534E-2</v>
      </c>
      <c r="M168" s="8">
        <f t="shared" ca="1" si="64"/>
        <v>2.1545866267586852E-2</v>
      </c>
      <c r="N168" s="8">
        <f t="shared" ca="1" si="64"/>
        <v>2.1659836758842383E-2</v>
      </c>
    </row>
    <row r="169" spans="1:14">
      <c r="A169" t="s">
        <v>281</v>
      </c>
      <c r="B169" s="1">
        <f t="shared" si="11"/>
        <v>2.52E-2</v>
      </c>
      <c r="C169" s="8">
        <f t="shared" ref="C169:N169" ca="1" si="65">B169*EXP($B$3*($B$2-B169)+$B$4*NORMSINV(RAND()))</f>
        <v>2.4896656821542129E-2</v>
      </c>
      <c r="D169" s="8">
        <f t="shared" ca="1" si="65"/>
        <v>2.349100473332107E-2</v>
      </c>
      <c r="E169" s="8">
        <f t="shared" ca="1" si="65"/>
        <v>2.2585437280534745E-2</v>
      </c>
      <c r="F169" s="8">
        <f t="shared" ca="1" si="65"/>
        <v>2.3540059199136851E-2</v>
      </c>
      <c r="G169" s="8">
        <f t="shared" ca="1" si="65"/>
        <v>2.3637796436667736E-2</v>
      </c>
      <c r="H169" s="8">
        <f t="shared" ca="1" si="65"/>
        <v>2.3046793050240516E-2</v>
      </c>
      <c r="I169" s="8">
        <f t="shared" ca="1" si="65"/>
        <v>2.2858668087706771E-2</v>
      </c>
      <c r="J169" s="8">
        <f t="shared" ca="1" si="65"/>
        <v>2.2022479446391859E-2</v>
      </c>
      <c r="K169" s="8">
        <f t="shared" ca="1" si="65"/>
        <v>2.1629796921028916E-2</v>
      </c>
      <c r="L169" s="8">
        <f t="shared" ca="1" si="65"/>
        <v>2.0761824610011765E-2</v>
      </c>
      <c r="M169" s="8">
        <f t="shared" ca="1" si="65"/>
        <v>2.029897739741424E-2</v>
      </c>
      <c r="N169" s="8">
        <f t="shared" ca="1" si="65"/>
        <v>2.0809522137273623E-2</v>
      </c>
    </row>
    <row r="170" spans="1:14">
      <c r="A170" t="s">
        <v>282</v>
      </c>
      <c r="B170" s="1">
        <f t="shared" si="11"/>
        <v>2.52E-2</v>
      </c>
      <c r="C170" s="8">
        <f t="shared" ref="C170:N170" ca="1" si="66">B170*EXP($B$3*($B$2-B170)+$B$4*NORMSINV(RAND()))</f>
        <v>2.3950995937530202E-2</v>
      </c>
      <c r="D170" s="8">
        <f t="shared" ca="1" si="66"/>
        <v>2.4012565779138854E-2</v>
      </c>
      <c r="E170" s="8">
        <f t="shared" ca="1" si="66"/>
        <v>2.3441171150152616E-2</v>
      </c>
      <c r="F170" s="8">
        <f t="shared" ca="1" si="66"/>
        <v>2.3621601251966232E-2</v>
      </c>
      <c r="G170" s="8">
        <f t="shared" ca="1" si="66"/>
        <v>2.3468692433842957E-2</v>
      </c>
      <c r="H170" s="8">
        <f t="shared" ca="1" si="66"/>
        <v>2.3558272302808915E-2</v>
      </c>
      <c r="I170" s="8">
        <f t="shared" ca="1" si="66"/>
        <v>2.3385772296450724E-2</v>
      </c>
      <c r="J170" s="8">
        <f t="shared" ca="1" si="66"/>
        <v>2.3855795348829284E-2</v>
      </c>
      <c r="K170" s="8">
        <f t="shared" ca="1" si="66"/>
        <v>2.4493077032867079E-2</v>
      </c>
      <c r="L170" s="8">
        <f t="shared" ca="1" si="66"/>
        <v>2.3603339536776392E-2</v>
      </c>
      <c r="M170" s="8">
        <f t="shared" ca="1" si="66"/>
        <v>2.4089102414124895E-2</v>
      </c>
      <c r="N170" s="8">
        <f t="shared" ca="1" si="66"/>
        <v>2.3423748792654905E-2</v>
      </c>
    </row>
    <row r="171" spans="1:14">
      <c r="A171" t="s">
        <v>283</v>
      </c>
      <c r="B171" s="1">
        <f t="shared" si="11"/>
        <v>2.52E-2</v>
      </c>
      <c r="C171" s="8">
        <f t="shared" ref="C171:N171" ca="1" si="67">B171*EXP($B$3*($B$2-B171)+$B$4*NORMSINV(RAND()))</f>
        <v>2.4984690812971482E-2</v>
      </c>
      <c r="D171" s="8">
        <f t="shared" ca="1" si="67"/>
        <v>2.5301968097713574E-2</v>
      </c>
      <c r="E171" s="8">
        <f t="shared" ca="1" si="67"/>
        <v>2.5289437353032837E-2</v>
      </c>
      <c r="F171" s="8">
        <f t="shared" ca="1" si="67"/>
        <v>2.6108389959656083E-2</v>
      </c>
      <c r="G171" s="8">
        <f t="shared" ca="1" si="67"/>
        <v>2.6504744131609807E-2</v>
      </c>
      <c r="H171" s="8">
        <f t="shared" ca="1" si="67"/>
        <v>2.6871388479216905E-2</v>
      </c>
      <c r="I171" s="8">
        <f t="shared" ca="1" si="67"/>
        <v>2.6116400034608776E-2</v>
      </c>
      <c r="J171" s="8">
        <f t="shared" ca="1" si="67"/>
        <v>2.6144775322638321E-2</v>
      </c>
      <c r="K171" s="8">
        <f t="shared" ca="1" si="67"/>
        <v>2.5802160353004148E-2</v>
      </c>
      <c r="L171" s="8">
        <f t="shared" ca="1" si="67"/>
        <v>2.6242294803512287E-2</v>
      </c>
      <c r="M171" s="8">
        <f t="shared" ca="1" si="67"/>
        <v>2.5180722082113149E-2</v>
      </c>
      <c r="N171" s="8">
        <f t="shared" ca="1" si="67"/>
        <v>2.6136939820656867E-2</v>
      </c>
    </row>
    <row r="172" spans="1:14">
      <c r="A172" t="s">
        <v>284</v>
      </c>
      <c r="B172" s="1">
        <f t="shared" si="11"/>
        <v>2.52E-2</v>
      </c>
      <c r="C172" s="8">
        <f t="shared" ref="C172:N172" ca="1" si="68">B172*EXP($B$3*($B$2-B172)+$B$4*NORMSINV(RAND()))</f>
        <v>2.5023550248199439E-2</v>
      </c>
      <c r="D172" s="8">
        <f t="shared" ca="1" si="68"/>
        <v>2.4588799852698268E-2</v>
      </c>
      <c r="E172" s="8">
        <f t="shared" ca="1" si="68"/>
        <v>2.4091387800131876E-2</v>
      </c>
      <c r="F172" s="8">
        <f t="shared" ca="1" si="68"/>
        <v>2.2954302096474064E-2</v>
      </c>
      <c r="G172" s="8">
        <f t="shared" ca="1" si="68"/>
        <v>2.2413556984880033E-2</v>
      </c>
      <c r="H172" s="8">
        <f t="shared" ca="1" si="68"/>
        <v>2.3574316125626632E-2</v>
      </c>
      <c r="I172" s="8">
        <f t="shared" ca="1" si="68"/>
        <v>2.2800307082088567E-2</v>
      </c>
      <c r="J172" s="8">
        <f t="shared" ca="1" si="68"/>
        <v>2.2579807096124612E-2</v>
      </c>
      <c r="K172" s="8">
        <f t="shared" ca="1" si="68"/>
        <v>2.3241341629948366E-2</v>
      </c>
      <c r="L172" s="8">
        <f t="shared" ca="1" si="68"/>
        <v>2.4228395830166286E-2</v>
      </c>
      <c r="M172" s="8">
        <f t="shared" ca="1" si="68"/>
        <v>2.3710434736018922E-2</v>
      </c>
      <c r="N172" s="8">
        <f t="shared" ca="1" si="68"/>
        <v>2.3528090198897393E-2</v>
      </c>
    </row>
    <row r="173" spans="1:14">
      <c r="A173" t="s">
        <v>285</v>
      </c>
      <c r="B173" s="1">
        <f t="shared" si="11"/>
        <v>2.52E-2</v>
      </c>
      <c r="C173" s="8">
        <f t="shared" ref="C173:N173" ca="1" si="69">B173*EXP($B$3*($B$2-B173)+$B$4*NORMSINV(RAND()))</f>
        <v>2.4869075049761387E-2</v>
      </c>
      <c r="D173" s="8">
        <f t="shared" ca="1" si="69"/>
        <v>2.550557978003069E-2</v>
      </c>
      <c r="E173" s="8">
        <f t="shared" ca="1" si="69"/>
        <v>2.5922101665281964E-2</v>
      </c>
      <c r="F173" s="8">
        <f t="shared" ca="1" si="69"/>
        <v>2.4715376539809309E-2</v>
      </c>
      <c r="G173" s="8">
        <f t="shared" ca="1" si="69"/>
        <v>2.4745422967038938E-2</v>
      </c>
      <c r="H173" s="8">
        <f t="shared" ca="1" si="69"/>
        <v>2.4863808777645355E-2</v>
      </c>
      <c r="I173" s="8">
        <f t="shared" ca="1" si="69"/>
        <v>2.5316316784512453E-2</v>
      </c>
      <c r="J173" s="8">
        <f t="shared" ca="1" si="69"/>
        <v>2.6333758596099162E-2</v>
      </c>
      <c r="K173" s="8">
        <f t="shared" ca="1" si="69"/>
        <v>2.646814291231157E-2</v>
      </c>
      <c r="L173" s="8">
        <f t="shared" ca="1" si="69"/>
        <v>2.5938646475511803E-2</v>
      </c>
      <c r="M173" s="8">
        <f t="shared" ca="1" si="69"/>
        <v>2.6835809911432876E-2</v>
      </c>
      <c r="N173" s="8">
        <f t="shared" ca="1" si="69"/>
        <v>2.6267090915711402E-2</v>
      </c>
    </row>
    <row r="174" spans="1:14">
      <c r="A174" t="s">
        <v>286</v>
      </c>
      <c r="B174" s="1">
        <f t="shared" si="11"/>
        <v>2.52E-2</v>
      </c>
      <c r="C174" s="8">
        <f t="shared" ref="C174:N174" ca="1" si="70">B174*EXP($B$3*($B$2-B174)+$B$4*NORMSINV(RAND()))</f>
        <v>2.5328860721677528E-2</v>
      </c>
      <c r="D174" s="8">
        <f t="shared" ca="1" si="70"/>
        <v>2.5943630214025706E-2</v>
      </c>
      <c r="E174" s="8">
        <f t="shared" ca="1" si="70"/>
        <v>2.4967599003027797E-2</v>
      </c>
      <c r="F174" s="8">
        <f t="shared" ca="1" si="70"/>
        <v>2.3174844243117353E-2</v>
      </c>
      <c r="G174" s="8">
        <f t="shared" ca="1" si="70"/>
        <v>2.3858295074536396E-2</v>
      </c>
      <c r="H174" s="8">
        <f t="shared" ca="1" si="70"/>
        <v>2.4115561680303547E-2</v>
      </c>
      <c r="I174" s="8">
        <f t="shared" ca="1" si="70"/>
        <v>2.3846839881884546E-2</v>
      </c>
      <c r="J174" s="8">
        <f t="shared" ca="1" si="70"/>
        <v>2.3785009990072516E-2</v>
      </c>
      <c r="K174" s="8">
        <f t="shared" ca="1" si="70"/>
        <v>2.218019618841641E-2</v>
      </c>
      <c r="L174" s="8">
        <f t="shared" ca="1" si="70"/>
        <v>2.1021021373692432E-2</v>
      </c>
      <c r="M174" s="8">
        <f t="shared" ca="1" si="70"/>
        <v>2.0443927102833635E-2</v>
      </c>
      <c r="N174" s="8">
        <f t="shared" ca="1" si="70"/>
        <v>2.074747089463936E-2</v>
      </c>
    </row>
    <row r="175" spans="1:14">
      <c r="A175" t="s">
        <v>287</v>
      </c>
      <c r="B175" s="1">
        <f t="shared" si="11"/>
        <v>2.52E-2</v>
      </c>
      <c r="C175" s="8">
        <f t="shared" ref="C175:N175" ca="1" si="71">B175*EXP($B$3*($B$2-B175)+$B$4*NORMSINV(RAND()))</f>
        <v>2.4921544336825731E-2</v>
      </c>
      <c r="D175" s="8">
        <f t="shared" ca="1" si="71"/>
        <v>2.409361383431145E-2</v>
      </c>
      <c r="E175" s="8">
        <f t="shared" ca="1" si="71"/>
        <v>2.3618593637608994E-2</v>
      </c>
      <c r="F175" s="8">
        <f t="shared" ca="1" si="71"/>
        <v>2.3731748139662553E-2</v>
      </c>
      <c r="G175" s="8">
        <f t="shared" ca="1" si="71"/>
        <v>2.302935078167042E-2</v>
      </c>
      <c r="H175" s="8">
        <f t="shared" ca="1" si="71"/>
        <v>2.5015736617979067E-2</v>
      </c>
      <c r="I175" s="8">
        <f t="shared" ca="1" si="71"/>
        <v>2.5312319051062602E-2</v>
      </c>
      <c r="J175" s="8">
        <f t="shared" ca="1" si="71"/>
        <v>2.518529649986239E-2</v>
      </c>
      <c r="K175" s="8">
        <f t="shared" ca="1" si="71"/>
        <v>2.4516901984756794E-2</v>
      </c>
      <c r="L175" s="8">
        <f t="shared" ca="1" si="71"/>
        <v>2.3868886185735912E-2</v>
      </c>
      <c r="M175" s="8">
        <f t="shared" ca="1" si="71"/>
        <v>2.4174790406652359E-2</v>
      </c>
      <c r="N175" s="8">
        <f t="shared" ca="1" si="71"/>
        <v>2.4650095639624503E-2</v>
      </c>
    </row>
    <row r="176" spans="1:14">
      <c r="A176" t="s">
        <v>288</v>
      </c>
      <c r="B176" s="1">
        <f t="shared" si="11"/>
        <v>2.52E-2</v>
      </c>
      <c r="C176" s="8">
        <f t="shared" ref="C176:N176" ca="1" si="72">B176*EXP($B$3*($B$2-B176)+$B$4*NORMSINV(RAND()))</f>
        <v>2.5490102915770977E-2</v>
      </c>
      <c r="D176" s="8">
        <f t="shared" ca="1" si="72"/>
        <v>2.6731232467810416E-2</v>
      </c>
      <c r="E176" s="8">
        <f t="shared" ca="1" si="72"/>
        <v>2.7211443033044673E-2</v>
      </c>
      <c r="F176" s="8">
        <f t="shared" ca="1" si="72"/>
        <v>2.8521760074316387E-2</v>
      </c>
      <c r="G176" s="8">
        <f t="shared" ca="1" si="72"/>
        <v>2.8313418467081304E-2</v>
      </c>
      <c r="H176" s="8">
        <f t="shared" ca="1" si="72"/>
        <v>2.9487984136617903E-2</v>
      </c>
      <c r="I176" s="8">
        <f t="shared" ca="1" si="72"/>
        <v>2.9188410292646703E-2</v>
      </c>
      <c r="J176" s="8">
        <f t="shared" ca="1" si="72"/>
        <v>2.858080005109281E-2</v>
      </c>
      <c r="K176" s="8">
        <f t="shared" ca="1" si="72"/>
        <v>2.7934162508863176E-2</v>
      </c>
      <c r="L176" s="8">
        <f t="shared" ca="1" si="72"/>
        <v>2.7534090655076584E-2</v>
      </c>
      <c r="M176" s="8">
        <f t="shared" ca="1" si="72"/>
        <v>2.7587445423040174E-2</v>
      </c>
      <c r="N176" s="8">
        <f t="shared" ca="1" si="72"/>
        <v>2.9036359562716701E-2</v>
      </c>
    </row>
    <row r="177" spans="1:14">
      <c r="A177" t="s">
        <v>289</v>
      </c>
      <c r="B177" s="1">
        <f t="shared" si="11"/>
        <v>2.52E-2</v>
      </c>
      <c r="C177" s="8">
        <f t="shared" ref="C177:N177" ca="1" si="73">B177*EXP($B$3*($B$2-B177)+$B$4*NORMSINV(RAND()))</f>
        <v>2.4586655932850768E-2</v>
      </c>
      <c r="D177" s="8">
        <f t="shared" ca="1" si="73"/>
        <v>2.5044556836951854E-2</v>
      </c>
      <c r="E177" s="8">
        <f t="shared" ca="1" si="73"/>
        <v>2.4831463801204278E-2</v>
      </c>
      <c r="F177" s="8">
        <f t="shared" ca="1" si="73"/>
        <v>2.5736027053722306E-2</v>
      </c>
      <c r="G177" s="8">
        <f t="shared" ca="1" si="73"/>
        <v>2.4651259218924394E-2</v>
      </c>
      <c r="H177" s="8">
        <f t="shared" ca="1" si="73"/>
        <v>2.427986085607094E-2</v>
      </c>
      <c r="I177" s="8">
        <f t="shared" ca="1" si="73"/>
        <v>2.3370706880708518E-2</v>
      </c>
      <c r="J177" s="8">
        <f t="shared" ca="1" si="73"/>
        <v>2.2832295707298614E-2</v>
      </c>
      <c r="K177" s="8">
        <f t="shared" ca="1" si="73"/>
        <v>2.332399928185315E-2</v>
      </c>
      <c r="L177" s="8">
        <f t="shared" ca="1" si="73"/>
        <v>2.3288652012871103E-2</v>
      </c>
      <c r="M177" s="8">
        <f t="shared" ca="1" si="73"/>
        <v>2.2495134122363838E-2</v>
      </c>
      <c r="N177" s="8">
        <f t="shared" ca="1" si="73"/>
        <v>2.1855799567412241E-2</v>
      </c>
    </row>
    <row r="178" spans="1:14">
      <c r="A178" t="s">
        <v>290</v>
      </c>
      <c r="B178" s="1">
        <f t="shared" si="11"/>
        <v>2.52E-2</v>
      </c>
      <c r="C178" s="8">
        <f t="shared" ref="C178:N178" ca="1" si="74">B178*EXP($B$3*($B$2-B178)+$B$4*NORMSINV(RAND()))</f>
        <v>2.5397249431331533E-2</v>
      </c>
      <c r="D178" s="8">
        <f t="shared" ca="1" si="74"/>
        <v>2.5330287662042501E-2</v>
      </c>
      <c r="E178" s="8">
        <f t="shared" ca="1" si="74"/>
        <v>2.6373985401500693E-2</v>
      </c>
      <c r="F178" s="8">
        <f t="shared" ca="1" si="74"/>
        <v>2.6500979206056426E-2</v>
      </c>
      <c r="G178" s="8">
        <f t="shared" ca="1" si="74"/>
        <v>2.6722589469931043E-2</v>
      </c>
      <c r="H178" s="8">
        <f t="shared" ca="1" si="74"/>
        <v>2.7079000377987095E-2</v>
      </c>
      <c r="I178" s="8">
        <f t="shared" ca="1" si="74"/>
        <v>2.8615815759331274E-2</v>
      </c>
      <c r="J178" s="8">
        <f t="shared" ca="1" si="74"/>
        <v>2.8162754238952065E-2</v>
      </c>
      <c r="K178" s="8">
        <f t="shared" ca="1" si="74"/>
        <v>2.8571419408622272E-2</v>
      </c>
      <c r="L178" s="8">
        <f t="shared" ca="1" si="74"/>
        <v>2.9695143630469597E-2</v>
      </c>
      <c r="M178" s="8">
        <f t="shared" ca="1" si="74"/>
        <v>3.0118113363100451E-2</v>
      </c>
      <c r="N178" s="8">
        <f t="shared" ca="1" si="74"/>
        <v>3.2445597712979821E-2</v>
      </c>
    </row>
    <row r="179" spans="1:14">
      <c r="A179" t="s">
        <v>291</v>
      </c>
      <c r="B179" s="1">
        <f t="shared" si="11"/>
        <v>2.52E-2</v>
      </c>
      <c r="C179" s="8">
        <f t="shared" ref="C179:N179" ca="1" si="75">B179*EXP($B$3*($B$2-B179)+$B$4*NORMSINV(RAND()))</f>
        <v>2.5438256659554497E-2</v>
      </c>
      <c r="D179" s="8">
        <f t="shared" ca="1" si="75"/>
        <v>2.4518222312873462E-2</v>
      </c>
      <c r="E179" s="8">
        <f t="shared" ca="1" si="75"/>
        <v>2.459207017541094E-2</v>
      </c>
      <c r="F179" s="8">
        <f t="shared" ca="1" si="75"/>
        <v>2.4981138244428828E-2</v>
      </c>
      <c r="G179" s="8">
        <f t="shared" ca="1" si="75"/>
        <v>2.5418031662633442E-2</v>
      </c>
      <c r="H179" s="8">
        <f t="shared" ca="1" si="75"/>
        <v>2.5483145623907268E-2</v>
      </c>
      <c r="I179" s="8">
        <f t="shared" ca="1" si="75"/>
        <v>2.6579505530328368E-2</v>
      </c>
      <c r="J179" s="8">
        <f t="shared" ca="1" si="75"/>
        <v>2.6782456332511476E-2</v>
      </c>
      <c r="K179" s="8">
        <f t="shared" ca="1" si="75"/>
        <v>2.6407466690636087E-2</v>
      </c>
      <c r="L179" s="8">
        <f t="shared" ca="1" si="75"/>
        <v>2.6741472642928574E-2</v>
      </c>
      <c r="M179" s="8">
        <f t="shared" ca="1" si="75"/>
        <v>2.6658105318044585E-2</v>
      </c>
      <c r="N179" s="8">
        <f t="shared" ca="1" si="75"/>
        <v>2.5572652577354471E-2</v>
      </c>
    </row>
    <row r="180" spans="1:14">
      <c r="A180" t="s">
        <v>292</v>
      </c>
      <c r="B180" s="1">
        <f t="shared" ref="B180:B214" si="76">$B$7</f>
        <v>2.52E-2</v>
      </c>
      <c r="C180" s="8">
        <f t="shared" ref="C180:N180" ca="1" si="77">B180*EXP($B$3*($B$2-B180)+$B$4*NORMSINV(RAND()))</f>
        <v>2.5866414735343141E-2</v>
      </c>
      <c r="D180" s="8">
        <f t="shared" ca="1" si="77"/>
        <v>2.6764401044841377E-2</v>
      </c>
      <c r="E180" s="8">
        <f t="shared" ca="1" si="77"/>
        <v>2.6626873547617662E-2</v>
      </c>
      <c r="F180" s="8">
        <f t="shared" ca="1" si="77"/>
        <v>2.6144734006044668E-2</v>
      </c>
      <c r="G180" s="8">
        <f t="shared" ca="1" si="77"/>
        <v>2.6111928544483045E-2</v>
      </c>
      <c r="H180" s="8">
        <f t="shared" ca="1" si="77"/>
        <v>2.5892800949867407E-2</v>
      </c>
      <c r="I180" s="8">
        <f t="shared" ca="1" si="77"/>
        <v>2.5972901029775456E-2</v>
      </c>
      <c r="J180" s="8">
        <f t="shared" ca="1" si="77"/>
        <v>2.4319983724597025E-2</v>
      </c>
      <c r="K180" s="8">
        <f t="shared" ca="1" si="77"/>
        <v>2.4692549744591182E-2</v>
      </c>
      <c r="L180" s="8">
        <f t="shared" ca="1" si="77"/>
        <v>2.3518514960892641E-2</v>
      </c>
      <c r="M180" s="8">
        <f t="shared" ca="1" si="77"/>
        <v>2.3491545315846383E-2</v>
      </c>
      <c r="N180" s="8">
        <f t="shared" ca="1" si="77"/>
        <v>2.4070511541724057E-2</v>
      </c>
    </row>
    <row r="181" spans="1:14">
      <c r="A181" t="s">
        <v>293</v>
      </c>
      <c r="B181" s="1">
        <f t="shared" si="76"/>
        <v>2.52E-2</v>
      </c>
      <c r="C181" s="8">
        <f t="shared" ref="C181:N181" ca="1" si="78">B181*EXP($B$3*($B$2-B181)+$B$4*NORMSINV(RAND()))</f>
        <v>2.5021178360383946E-2</v>
      </c>
      <c r="D181" s="8">
        <f t="shared" ca="1" si="78"/>
        <v>2.466157737979148E-2</v>
      </c>
      <c r="E181" s="8">
        <f t="shared" ca="1" si="78"/>
        <v>2.5521467942117456E-2</v>
      </c>
      <c r="F181" s="8">
        <f t="shared" ca="1" si="78"/>
        <v>2.6023866742297709E-2</v>
      </c>
      <c r="G181" s="8">
        <f t="shared" ca="1" si="78"/>
        <v>2.4858738267348066E-2</v>
      </c>
      <c r="H181" s="8">
        <f t="shared" ca="1" si="78"/>
        <v>2.3970999248516357E-2</v>
      </c>
      <c r="I181" s="8">
        <f t="shared" ca="1" si="78"/>
        <v>2.4917267400133686E-2</v>
      </c>
      <c r="J181" s="8">
        <f t="shared" ca="1" si="78"/>
        <v>2.6027557424173009E-2</v>
      </c>
      <c r="K181" s="8">
        <f t="shared" ca="1" si="78"/>
        <v>2.640510379919063E-2</v>
      </c>
      <c r="L181" s="8">
        <f t="shared" ca="1" si="78"/>
        <v>2.6456035357444434E-2</v>
      </c>
      <c r="M181" s="8">
        <f t="shared" ca="1" si="78"/>
        <v>2.509966423566681E-2</v>
      </c>
      <c r="N181" s="8">
        <f t="shared" ca="1" si="78"/>
        <v>2.4721023351654287E-2</v>
      </c>
    </row>
    <row r="182" spans="1:14">
      <c r="A182" t="s">
        <v>294</v>
      </c>
      <c r="B182" s="1">
        <f t="shared" si="76"/>
        <v>2.52E-2</v>
      </c>
      <c r="C182" s="8">
        <f t="shared" ref="C182:N182" ca="1" si="79">B182*EXP($B$3*($B$2-B182)+$B$4*NORMSINV(RAND()))</f>
        <v>2.6229388206375947E-2</v>
      </c>
      <c r="D182" s="8">
        <f t="shared" ca="1" si="79"/>
        <v>2.6022143062059602E-2</v>
      </c>
      <c r="E182" s="8">
        <f t="shared" ca="1" si="79"/>
        <v>2.6380438264281852E-2</v>
      </c>
      <c r="F182" s="8">
        <f t="shared" ca="1" si="79"/>
        <v>2.5670782747511771E-2</v>
      </c>
      <c r="G182" s="8">
        <f t="shared" ca="1" si="79"/>
        <v>2.5892572362789419E-2</v>
      </c>
      <c r="H182" s="8">
        <f t="shared" ca="1" si="79"/>
        <v>2.6505610629193144E-2</v>
      </c>
      <c r="I182" s="8">
        <f t="shared" ca="1" si="79"/>
        <v>2.6061976654739763E-2</v>
      </c>
      <c r="J182" s="8">
        <f t="shared" ca="1" si="79"/>
        <v>2.6702309434270394E-2</v>
      </c>
      <c r="K182" s="8">
        <f t="shared" ca="1" si="79"/>
        <v>2.5738665271784159E-2</v>
      </c>
      <c r="L182" s="8">
        <f t="shared" ca="1" si="79"/>
        <v>2.6183589823085367E-2</v>
      </c>
      <c r="M182" s="8">
        <f t="shared" ca="1" si="79"/>
        <v>2.7572034101334221E-2</v>
      </c>
      <c r="N182" s="8">
        <f t="shared" ca="1" si="79"/>
        <v>2.7636256837124035E-2</v>
      </c>
    </row>
    <row r="183" spans="1:14">
      <c r="A183" t="s">
        <v>295</v>
      </c>
      <c r="B183" s="1">
        <f t="shared" si="76"/>
        <v>2.52E-2</v>
      </c>
      <c r="C183" s="8">
        <f t="shared" ref="C183:N183" ca="1" si="80">B183*EXP($B$3*($B$2-B183)+$B$4*NORMSINV(RAND()))</f>
        <v>2.5377754358248867E-2</v>
      </c>
      <c r="D183" s="8">
        <f t="shared" ca="1" si="80"/>
        <v>2.3788895657190313E-2</v>
      </c>
      <c r="E183" s="8">
        <f t="shared" ca="1" si="80"/>
        <v>2.3321530066811466E-2</v>
      </c>
      <c r="F183" s="8">
        <f t="shared" ca="1" si="80"/>
        <v>2.348933241152594E-2</v>
      </c>
      <c r="G183" s="8">
        <f t="shared" ca="1" si="80"/>
        <v>2.2545414437173981E-2</v>
      </c>
      <c r="H183" s="8">
        <f t="shared" ca="1" si="80"/>
        <v>2.3332072599206995E-2</v>
      </c>
      <c r="I183" s="8">
        <f t="shared" ca="1" si="80"/>
        <v>2.3243598255407415E-2</v>
      </c>
      <c r="J183" s="8">
        <f t="shared" ca="1" si="80"/>
        <v>2.4593592880455241E-2</v>
      </c>
      <c r="K183" s="8">
        <f t="shared" ca="1" si="80"/>
        <v>2.4409110479558488E-2</v>
      </c>
      <c r="L183" s="8">
        <f t="shared" ca="1" si="80"/>
        <v>2.3761121773337272E-2</v>
      </c>
      <c r="M183" s="8">
        <f t="shared" ca="1" si="80"/>
        <v>2.4456260867615005E-2</v>
      </c>
      <c r="N183" s="8">
        <f t="shared" ca="1" si="80"/>
        <v>2.4742578405024317E-2</v>
      </c>
    </row>
    <row r="184" spans="1:14">
      <c r="A184" t="s">
        <v>296</v>
      </c>
      <c r="B184" s="1">
        <f t="shared" si="76"/>
        <v>2.52E-2</v>
      </c>
      <c r="C184" s="8">
        <f t="shared" ref="C184:N184" ca="1" si="81">B184*EXP($B$3*($B$2-B184)+$B$4*NORMSINV(RAND()))</f>
        <v>2.5963935060778761E-2</v>
      </c>
      <c r="D184" s="8">
        <f t="shared" ca="1" si="81"/>
        <v>2.6195248823416638E-2</v>
      </c>
      <c r="E184" s="8">
        <f t="shared" ca="1" si="81"/>
        <v>2.7628087624757425E-2</v>
      </c>
      <c r="F184" s="8">
        <f t="shared" ca="1" si="81"/>
        <v>2.8131297032144946E-2</v>
      </c>
      <c r="G184" s="8">
        <f t="shared" ca="1" si="81"/>
        <v>2.9169292428942912E-2</v>
      </c>
      <c r="H184" s="8">
        <f t="shared" ca="1" si="81"/>
        <v>2.964240264470307E-2</v>
      </c>
      <c r="I184" s="8">
        <f t="shared" ca="1" si="81"/>
        <v>2.756200441895577E-2</v>
      </c>
      <c r="J184" s="8">
        <f t="shared" ca="1" si="81"/>
        <v>2.7678426997283307E-2</v>
      </c>
      <c r="K184" s="8">
        <f t="shared" ca="1" si="81"/>
        <v>2.7132674067241298E-2</v>
      </c>
      <c r="L184" s="8">
        <f t="shared" ca="1" si="81"/>
        <v>2.6667447100600466E-2</v>
      </c>
      <c r="M184" s="8">
        <f t="shared" ca="1" si="81"/>
        <v>2.6523390696544896E-2</v>
      </c>
      <c r="N184" s="8">
        <f t="shared" ca="1" si="81"/>
        <v>2.5742019418101805E-2</v>
      </c>
    </row>
    <row r="185" spans="1:14">
      <c r="A185" t="s">
        <v>297</v>
      </c>
      <c r="B185" s="1">
        <f t="shared" si="76"/>
        <v>2.52E-2</v>
      </c>
      <c r="C185" s="8">
        <f t="shared" ref="C185:N185" ca="1" si="82">B185*EXP($B$3*($B$2-B185)+$B$4*NORMSINV(RAND()))</f>
        <v>2.5106654405671378E-2</v>
      </c>
      <c r="D185" s="8">
        <f t="shared" ca="1" si="82"/>
        <v>2.5840428754179905E-2</v>
      </c>
      <c r="E185" s="8">
        <f t="shared" ca="1" si="82"/>
        <v>2.4817830219611061E-2</v>
      </c>
      <c r="F185" s="8">
        <f t="shared" ca="1" si="82"/>
        <v>2.5198991148739434E-2</v>
      </c>
      <c r="G185" s="8">
        <f t="shared" ca="1" si="82"/>
        <v>2.608826400634234E-2</v>
      </c>
      <c r="H185" s="8">
        <f t="shared" ca="1" si="82"/>
        <v>2.68999110188618E-2</v>
      </c>
      <c r="I185" s="8">
        <f t="shared" ca="1" si="82"/>
        <v>2.5803858576871661E-2</v>
      </c>
      <c r="J185" s="8">
        <f t="shared" ca="1" si="82"/>
        <v>2.570293817152455E-2</v>
      </c>
      <c r="K185" s="8">
        <f t="shared" ca="1" si="82"/>
        <v>2.5491405057997685E-2</v>
      </c>
      <c r="L185" s="8">
        <f t="shared" ca="1" si="82"/>
        <v>2.5797761550505362E-2</v>
      </c>
      <c r="M185" s="8">
        <f t="shared" ca="1" si="82"/>
        <v>2.6413884549925253E-2</v>
      </c>
      <c r="N185" s="8">
        <f t="shared" ca="1" si="82"/>
        <v>2.7214099231896015E-2</v>
      </c>
    </row>
    <row r="186" spans="1:14">
      <c r="A186" t="s">
        <v>298</v>
      </c>
      <c r="B186" s="1">
        <f t="shared" si="76"/>
        <v>2.52E-2</v>
      </c>
      <c r="C186" s="8">
        <f t="shared" ref="C186:N186" ca="1" si="83">B186*EXP($B$3*($B$2-B186)+$B$4*NORMSINV(RAND()))</f>
        <v>2.4300612753819111E-2</v>
      </c>
      <c r="D186" s="8">
        <f t="shared" ca="1" si="83"/>
        <v>2.506215136305126E-2</v>
      </c>
      <c r="E186" s="8">
        <f t="shared" ca="1" si="83"/>
        <v>2.5870674113821556E-2</v>
      </c>
      <c r="F186" s="8">
        <f t="shared" ca="1" si="83"/>
        <v>2.5683338566430278E-2</v>
      </c>
      <c r="G186" s="8">
        <f t="shared" ca="1" si="83"/>
        <v>2.5344932452228668E-2</v>
      </c>
      <c r="H186" s="8">
        <f t="shared" ca="1" si="83"/>
        <v>2.6011776510540388E-2</v>
      </c>
      <c r="I186" s="8">
        <f t="shared" ca="1" si="83"/>
        <v>2.6371582109061681E-2</v>
      </c>
      <c r="J186" s="8">
        <f t="shared" ca="1" si="83"/>
        <v>2.6659269786125046E-2</v>
      </c>
      <c r="K186" s="8">
        <f t="shared" ca="1" si="83"/>
        <v>2.5560623534274619E-2</v>
      </c>
      <c r="L186" s="8">
        <f t="shared" ca="1" si="83"/>
        <v>2.5086617033592596E-2</v>
      </c>
      <c r="M186" s="8">
        <f t="shared" ca="1" si="83"/>
        <v>2.5253942083744207E-2</v>
      </c>
      <c r="N186" s="8">
        <f t="shared" ca="1" si="83"/>
        <v>2.6110930342475278E-2</v>
      </c>
    </row>
    <row r="187" spans="1:14">
      <c r="A187" t="s">
        <v>299</v>
      </c>
      <c r="B187" s="1">
        <f t="shared" si="76"/>
        <v>2.52E-2</v>
      </c>
      <c r="C187" s="8">
        <f t="shared" ref="C187:N187" ca="1" si="84">B187*EXP($B$3*($B$2-B187)+$B$4*NORMSINV(RAND()))</f>
        <v>2.4458362912533733E-2</v>
      </c>
      <c r="D187" s="8">
        <f t="shared" ca="1" si="84"/>
        <v>2.501830961813778E-2</v>
      </c>
      <c r="E187" s="8">
        <f t="shared" ca="1" si="84"/>
        <v>2.4798533940164461E-2</v>
      </c>
      <c r="F187" s="8">
        <f t="shared" ca="1" si="84"/>
        <v>2.4840518105007144E-2</v>
      </c>
      <c r="G187" s="8">
        <f t="shared" ca="1" si="84"/>
        <v>2.3644646762564319E-2</v>
      </c>
      <c r="H187" s="8">
        <f t="shared" ca="1" si="84"/>
        <v>2.3861642452868221E-2</v>
      </c>
      <c r="I187" s="8">
        <f t="shared" ca="1" si="84"/>
        <v>2.4232665395544736E-2</v>
      </c>
      <c r="J187" s="8">
        <f t="shared" ca="1" si="84"/>
        <v>2.3700219085555637E-2</v>
      </c>
      <c r="K187" s="8">
        <f t="shared" ca="1" si="84"/>
        <v>2.1739551973833791E-2</v>
      </c>
      <c r="L187" s="8">
        <f t="shared" ca="1" si="84"/>
        <v>2.11066892354147E-2</v>
      </c>
      <c r="M187" s="8">
        <f t="shared" ca="1" si="84"/>
        <v>2.1525127037973522E-2</v>
      </c>
      <c r="N187" s="8">
        <f t="shared" ca="1" si="84"/>
        <v>2.09751177973726E-2</v>
      </c>
    </row>
    <row r="188" spans="1:14">
      <c r="A188" t="s">
        <v>300</v>
      </c>
      <c r="B188" s="1">
        <f t="shared" si="76"/>
        <v>2.52E-2</v>
      </c>
      <c r="C188" s="8">
        <f t="shared" ref="C188:N188" ca="1" si="85">B188*EXP($B$3*($B$2-B188)+$B$4*NORMSINV(RAND()))</f>
        <v>2.4667842407244969E-2</v>
      </c>
      <c r="D188" s="8">
        <f t="shared" ca="1" si="85"/>
        <v>2.5055491079349585E-2</v>
      </c>
      <c r="E188" s="8">
        <f t="shared" ca="1" si="85"/>
        <v>2.6762264500855303E-2</v>
      </c>
      <c r="F188" s="8">
        <f t="shared" ca="1" si="85"/>
        <v>2.61013459405319E-2</v>
      </c>
      <c r="G188" s="8">
        <f t="shared" ca="1" si="85"/>
        <v>2.7397354606290843E-2</v>
      </c>
      <c r="H188" s="8">
        <f t="shared" ca="1" si="85"/>
        <v>2.7485707318080175E-2</v>
      </c>
      <c r="I188" s="8">
        <f t="shared" ca="1" si="85"/>
        <v>2.7431527346084377E-2</v>
      </c>
      <c r="J188" s="8">
        <f t="shared" ca="1" si="85"/>
        <v>2.9453784773011839E-2</v>
      </c>
      <c r="K188" s="8">
        <f t="shared" ca="1" si="85"/>
        <v>2.9267381937222805E-2</v>
      </c>
      <c r="L188" s="8">
        <f t="shared" ca="1" si="85"/>
        <v>2.9918251329694057E-2</v>
      </c>
      <c r="M188" s="8">
        <f t="shared" ca="1" si="85"/>
        <v>2.9610440937764708E-2</v>
      </c>
      <c r="N188" s="8">
        <f t="shared" ca="1" si="85"/>
        <v>2.8997017174874629E-2</v>
      </c>
    </row>
    <row r="189" spans="1:14">
      <c r="A189" t="s">
        <v>301</v>
      </c>
      <c r="B189" s="1">
        <f t="shared" si="76"/>
        <v>2.52E-2</v>
      </c>
      <c r="C189" s="8">
        <f t="shared" ref="C189:N189" ca="1" si="86">B189*EXP($B$3*($B$2-B189)+$B$4*NORMSINV(RAND()))</f>
        <v>2.5643874306601817E-2</v>
      </c>
      <c r="D189" s="8">
        <f t="shared" ca="1" si="86"/>
        <v>2.6067895116888506E-2</v>
      </c>
      <c r="E189" s="8">
        <f t="shared" ca="1" si="86"/>
        <v>2.6408265722689513E-2</v>
      </c>
      <c r="F189" s="8">
        <f t="shared" ca="1" si="86"/>
        <v>2.6027103338805879E-2</v>
      </c>
      <c r="G189" s="8">
        <f t="shared" ca="1" si="86"/>
        <v>2.7291060760724507E-2</v>
      </c>
      <c r="H189" s="8">
        <f t="shared" ca="1" si="86"/>
        <v>2.7714528149182568E-2</v>
      </c>
      <c r="I189" s="8">
        <f t="shared" ca="1" si="86"/>
        <v>2.780524803724237E-2</v>
      </c>
      <c r="J189" s="8">
        <f t="shared" ca="1" si="86"/>
        <v>2.7105824431047969E-2</v>
      </c>
      <c r="K189" s="8">
        <f t="shared" ca="1" si="86"/>
        <v>2.7197471611361858E-2</v>
      </c>
      <c r="L189" s="8">
        <f t="shared" ca="1" si="86"/>
        <v>2.7028726456528582E-2</v>
      </c>
      <c r="M189" s="8">
        <f t="shared" ca="1" si="86"/>
        <v>2.7255775923908838E-2</v>
      </c>
      <c r="N189" s="8">
        <f t="shared" ca="1" si="86"/>
        <v>2.6659188440167219E-2</v>
      </c>
    </row>
    <row r="190" spans="1:14">
      <c r="A190" t="s">
        <v>302</v>
      </c>
      <c r="B190" s="1">
        <f t="shared" si="76"/>
        <v>2.52E-2</v>
      </c>
      <c r="C190" s="8">
        <f t="shared" ref="C190:N190" ca="1" si="87">B190*EXP($B$3*($B$2-B190)+$B$4*NORMSINV(RAND()))</f>
        <v>2.5708376177110415E-2</v>
      </c>
      <c r="D190" s="8">
        <f t="shared" ca="1" si="87"/>
        <v>2.5275886647964211E-2</v>
      </c>
      <c r="E190" s="8">
        <f t="shared" ca="1" si="87"/>
        <v>2.4460510039923278E-2</v>
      </c>
      <c r="F190" s="8">
        <f t="shared" ca="1" si="87"/>
        <v>2.4149208766150839E-2</v>
      </c>
      <c r="G190" s="8">
        <f t="shared" ca="1" si="87"/>
        <v>2.5362775901986909E-2</v>
      </c>
      <c r="H190" s="8">
        <f t="shared" ca="1" si="87"/>
        <v>2.4825179020164359E-2</v>
      </c>
      <c r="I190" s="8">
        <f t="shared" ca="1" si="87"/>
        <v>2.4007899107861632E-2</v>
      </c>
      <c r="J190" s="8">
        <f t="shared" ca="1" si="87"/>
        <v>2.5596582665857577E-2</v>
      </c>
      <c r="K190" s="8">
        <f t="shared" ca="1" si="87"/>
        <v>2.5482806221680445E-2</v>
      </c>
      <c r="L190" s="8">
        <f t="shared" ca="1" si="87"/>
        <v>2.4754824045398818E-2</v>
      </c>
      <c r="M190" s="8">
        <f t="shared" ca="1" si="87"/>
        <v>2.5080595857583789E-2</v>
      </c>
      <c r="N190" s="8">
        <f t="shared" ca="1" si="87"/>
        <v>2.5929051653342715E-2</v>
      </c>
    </row>
    <row r="191" spans="1:14">
      <c r="A191" t="s">
        <v>303</v>
      </c>
      <c r="B191" s="1">
        <f t="shared" si="76"/>
        <v>2.52E-2</v>
      </c>
      <c r="C191" s="8">
        <f t="shared" ref="C191:N191" ca="1" si="88">B191*EXP($B$3*($B$2-B191)+$B$4*NORMSINV(RAND()))</f>
        <v>2.5181527672823337E-2</v>
      </c>
      <c r="D191" s="8">
        <f t="shared" ca="1" si="88"/>
        <v>2.5986597543734499E-2</v>
      </c>
      <c r="E191" s="8">
        <f t="shared" ca="1" si="88"/>
        <v>2.6571867764481713E-2</v>
      </c>
      <c r="F191" s="8">
        <f t="shared" ca="1" si="88"/>
        <v>2.5787989973979471E-2</v>
      </c>
      <c r="G191" s="8">
        <f t="shared" ca="1" si="88"/>
        <v>2.5930911531926427E-2</v>
      </c>
      <c r="H191" s="8">
        <f t="shared" ca="1" si="88"/>
        <v>2.5299940526437224E-2</v>
      </c>
      <c r="I191" s="8">
        <f t="shared" ca="1" si="88"/>
        <v>2.6471474377717307E-2</v>
      </c>
      <c r="J191" s="8">
        <f t="shared" ca="1" si="88"/>
        <v>2.5418407577328418E-2</v>
      </c>
      <c r="K191" s="8">
        <f t="shared" ca="1" si="88"/>
        <v>2.7163740270810036E-2</v>
      </c>
      <c r="L191" s="8">
        <f t="shared" ca="1" si="88"/>
        <v>2.810094477778035E-2</v>
      </c>
      <c r="M191" s="8">
        <f t="shared" ca="1" si="88"/>
        <v>2.8905086284244961E-2</v>
      </c>
      <c r="N191" s="8">
        <f t="shared" ca="1" si="88"/>
        <v>2.8806009897642273E-2</v>
      </c>
    </row>
    <row r="192" spans="1:14">
      <c r="A192" t="s">
        <v>304</v>
      </c>
      <c r="B192" s="1">
        <f t="shared" si="76"/>
        <v>2.52E-2</v>
      </c>
      <c r="C192" s="8">
        <f t="shared" ref="C192:N192" ca="1" si="89">B192*EXP($B$3*($B$2-B192)+$B$4*NORMSINV(RAND()))</f>
        <v>2.5592170683728106E-2</v>
      </c>
      <c r="D192" s="8">
        <f t="shared" ca="1" si="89"/>
        <v>2.5208762411841057E-2</v>
      </c>
      <c r="E192" s="8">
        <f t="shared" ca="1" si="89"/>
        <v>2.6280562694931401E-2</v>
      </c>
      <c r="F192" s="8">
        <f t="shared" ca="1" si="89"/>
        <v>2.6702946244217859E-2</v>
      </c>
      <c r="G192" s="8">
        <f t="shared" ca="1" si="89"/>
        <v>2.6698582460210604E-2</v>
      </c>
      <c r="H192" s="8">
        <f t="shared" ca="1" si="89"/>
        <v>2.7448630611398985E-2</v>
      </c>
      <c r="I192" s="8">
        <f t="shared" ca="1" si="89"/>
        <v>2.7968285197124493E-2</v>
      </c>
      <c r="J192" s="8">
        <f t="shared" ca="1" si="89"/>
        <v>2.7896640030380462E-2</v>
      </c>
      <c r="K192" s="8">
        <f t="shared" ca="1" si="89"/>
        <v>2.7207982367504577E-2</v>
      </c>
      <c r="L192" s="8">
        <f t="shared" ca="1" si="89"/>
        <v>2.695951151215464E-2</v>
      </c>
      <c r="M192" s="8">
        <f t="shared" ca="1" si="89"/>
        <v>2.6516058263186166E-2</v>
      </c>
      <c r="N192" s="8">
        <f t="shared" ca="1" si="89"/>
        <v>2.5167066142074639E-2</v>
      </c>
    </row>
    <row r="193" spans="1:14">
      <c r="A193" t="s">
        <v>305</v>
      </c>
      <c r="B193" s="1">
        <f t="shared" si="76"/>
        <v>2.52E-2</v>
      </c>
      <c r="C193" s="8">
        <f t="shared" ref="C193:N193" ca="1" si="90">B193*EXP($B$3*($B$2-B193)+$B$4*NORMSINV(RAND()))</f>
        <v>2.5477843559069891E-2</v>
      </c>
      <c r="D193" s="8">
        <f t="shared" ca="1" si="90"/>
        <v>2.6615042883432645E-2</v>
      </c>
      <c r="E193" s="8">
        <f t="shared" ca="1" si="90"/>
        <v>2.6270913310586105E-2</v>
      </c>
      <c r="F193" s="8">
        <f t="shared" ca="1" si="90"/>
        <v>2.5563977017076318E-2</v>
      </c>
      <c r="G193" s="8">
        <f t="shared" ca="1" si="90"/>
        <v>2.4839785821790399E-2</v>
      </c>
      <c r="H193" s="8">
        <f t="shared" ca="1" si="90"/>
        <v>2.4399381621853008E-2</v>
      </c>
      <c r="I193" s="8">
        <f t="shared" ca="1" si="90"/>
        <v>2.453354839947508E-2</v>
      </c>
      <c r="J193" s="8">
        <f t="shared" ca="1" si="90"/>
        <v>2.4611374737731218E-2</v>
      </c>
      <c r="K193" s="8">
        <f t="shared" ca="1" si="90"/>
        <v>2.3695902667188306E-2</v>
      </c>
      <c r="L193" s="8">
        <f t="shared" ca="1" si="90"/>
        <v>2.4070255345003681E-2</v>
      </c>
      <c r="M193" s="8">
        <f t="shared" ca="1" si="90"/>
        <v>2.3592653860780993E-2</v>
      </c>
      <c r="N193" s="8">
        <f t="shared" ca="1" si="90"/>
        <v>2.47660464780812E-2</v>
      </c>
    </row>
    <row r="194" spans="1:14">
      <c r="A194" t="s">
        <v>306</v>
      </c>
      <c r="B194" s="1">
        <f t="shared" si="76"/>
        <v>2.52E-2</v>
      </c>
      <c r="C194" s="8">
        <f t="shared" ref="C194:N194" ca="1" si="91">B194*EXP($B$3*($B$2-B194)+$B$4*NORMSINV(RAND()))</f>
        <v>2.4145793234674189E-2</v>
      </c>
      <c r="D194" s="8">
        <f t="shared" ca="1" si="91"/>
        <v>2.3091959038881893E-2</v>
      </c>
      <c r="E194" s="8">
        <f t="shared" ca="1" si="91"/>
        <v>2.2757892111837007E-2</v>
      </c>
      <c r="F194" s="8">
        <f t="shared" ca="1" si="91"/>
        <v>2.3183088858869175E-2</v>
      </c>
      <c r="G194" s="8">
        <f t="shared" ca="1" si="91"/>
        <v>2.3278430282526023E-2</v>
      </c>
      <c r="H194" s="8">
        <f t="shared" ca="1" si="91"/>
        <v>2.2311361596523388E-2</v>
      </c>
      <c r="I194" s="8">
        <f t="shared" ca="1" si="91"/>
        <v>2.2433730016133385E-2</v>
      </c>
      <c r="J194" s="8">
        <f t="shared" ca="1" si="91"/>
        <v>2.1611065546410752E-2</v>
      </c>
      <c r="K194" s="8">
        <f t="shared" ca="1" si="91"/>
        <v>2.1992983149658966E-2</v>
      </c>
      <c r="L194" s="8">
        <f t="shared" ca="1" si="91"/>
        <v>2.174078378983579E-2</v>
      </c>
      <c r="M194" s="8">
        <f t="shared" ca="1" si="91"/>
        <v>2.1882185810981388E-2</v>
      </c>
      <c r="N194" s="8">
        <f t="shared" ca="1" si="91"/>
        <v>2.2491722199266016E-2</v>
      </c>
    </row>
    <row r="195" spans="1:14">
      <c r="A195" t="s">
        <v>307</v>
      </c>
      <c r="B195" s="1">
        <f t="shared" si="76"/>
        <v>2.52E-2</v>
      </c>
      <c r="C195" s="8">
        <f t="shared" ref="C195:N195" ca="1" si="92">B195*EXP($B$3*($B$2-B195)+$B$4*NORMSINV(RAND()))</f>
        <v>2.5792459598667206E-2</v>
      </c>
      <c r="D195" s="8">
        <f t="shared" ca="1" si="92"/>
        <v>2.4830849643835799E-2</v>
      </c>
      <c r="E195" s="8">
        <f t="shared" ca="1" si="92"/>
        <v>2.4295607923012542E-2</v>
      </c>
      <c r="F195" s="8">
        <f t="shared" ca="1" si="92"/>
        <v>2.4943335772814143E-2</v>
      </c>
      <c r="G195" s="8">
        <f t="shared" ca="1" si="92"/>
        <v>2.4537971149058955E-2</v>
      </c>
      <c r="H195" s="8">
        <f t="shared" ca="1" si="92"/>
        <v>2.4462760735205376E-2</v>
      </c>
      <c r="I195" s="8">
        <f t="shared" ca="1" si="92"/>
        <v>2.4514679708586444E-2</v>
      </c>
      <c r="J195" s="8">
        <f t="shared" ca="1" si="92"/>
        <v>2.488078113156765E-2</v>
      </c>
      <c r="K195" s="8">
        <f t="shared" ca="1" si="92"/>
        <v>2.4643572483948096E-2</v>
      </c>
      <c r="L195" s="8">
        <f t="shared" ca="1" si="92"/>
        <v>2.4406090930507923E-2</v>
      </c>
      <c r="M195" s="8">
        <f t="shared" ca="1" si="92"/>
        <v>2.4014379393925561E-2</v>
      </c>
      <c r="N195" s="8">
        <f t="shared" ca="1" si="92"/>
        <v>2.4180823173910869E-2</v>
      </c>
    </row>
    <row r="196" spans="1:14">
      <c r="A196" t="s">
        <v>308</v>
      </c>
      <c r="B196" s="1">
        <f t="shared" si="76"/>
        <v>2.52E-2</v>
      </c>
      <c r="C196" s="8">
        <f t="shared" ref="C196:N196" ca="1" si="93">B196*EXP($B$3*($B$2-B196)+$B$4*NORMSINV(RAND()))</f>
        <v>2.658776846896678E-2</v>
      </c>
      <c r="D196" s="8">
        <f t="shared" ca="1" si="93"/>
        <v>2.7161043022837488E-2</v>
      </c>
      <c r="E196" s="8">
        <f t="shared" ca="1" si="93"/>
        <v>2.6716322625988422E-2</v>
      </c>
      <c r="F196" s="8">
        <f t="shared" ca="1" si="93"/>
        <v>2.5761551306373705E-2</v>
      </c>
      <c r="G196" s="8">
        <f t="shared" ca="1" si="93"/>
        <v>2.5503783013473228E-2</v>
      </c>
      <c r="H196" s="8">
        <f t="shared" ca="1" si="93"/>
        <v>2.5562896210228447E-2</v>
      </c>
      <c r="I196" s="8">
        <f t="shared" ca="1" si="93"/>
        <v>2.5314919219828085E-2</v>
      </c>
      <c r="J196" s="8">
        <f t="shared" ca="1" si="93"/>
        <v>2.4969533196483606E-2</v>
      </c>
      <c r="K196" s="8">
        <f t="shared" ca="1" si="93"/>
        <v>2.6784595401615999E-2</v>
      </c>
      <c r="L196" s="8">
        <f t="shared" ca="1" si="93"/>
        <v>2.7153155098798339E-2</v>
      </c>
      <c r="M196" s="8">
        <f t="shared" ca="1" si="93"/>
        <v>2.6862775890593858E-2</v>
      </c>
      <c r="N196" s="8">
        <f t="shared" ca="1" si="93"/>
        <v>2.832737883523526E-2</v>
      </c>
    </row>
    <row r="197" spans="1:14">
      <c r="A197" t="s">
        <v>309</v>
      </c>
      <c r="B197" s="1">
        <f t="shared" si="76"/>
        <v>2.52E-2</v>
      </c>
      <c r="C197" s="8">
        <f t="shared" ref="C197:N197" ca="1" si="94">B197*EXP($B$3*($B$2-B197)+$B$4*NORMSINV(RAND()))</f>
        <v>2.517107512206699E-2</v>
      </c>
      <c r="D197" s="8">
        <f t="shared" ca="1" si="94"/>
        <v>2.666707976540221E-2</v>
      </c>
      <c r="E197" s="8">
        <f t="shared" ca="1" si="94"/>
        <v>2.7121110186505017E-2</v>
      </c>
      <c r="F197" s="8">
        <f t="shared" ca="1" si="94"/>
        <v>2.7496874322622308E-2</v>
      </c>
      <c r="G197" s="8">
        <f t="shared" ca="1" si="94"/>
        <v>2.5599909335438369E-2</v>
      </c>
      <c r="H197" s="8">
        <f t="shared" ca="1" si="94"/>
        <v>2.5494900487771678E-2</v>
      </c>
      <c r="I197" s="8">
        <f t="shared" ca="1" si="94"/>
        <v>2.4896585376121931E-2</v>
      </c>
      <c r="J197" s="8">
        <f t="shared" ca="1" si="94"/>
        <v>2.4787148096812966E-2</v>
      </c>
      <c r="K197" s="8">
        <f t="shared" ca="1" si="94"/>
        <v>2.4828974746701812E-2</v>
      </c>
      <c r="L197" s="8">
        <f t="shared" ca="1" si="94"/>
        <v>2.3740175858109388E-2</v>
      </c>
      <c r="M197" s="8">
        <f t="shared" ca="1" si="94"/>
        <v>2.4014908762936143E-2</v>
      </c>
      <c r="N197" s="8">
        <f t="shared" ca="1" si="94"/>
        <v>2.5164853134614338E-2</v>
      </c>
    </row>
    <row r="198" spans="1:14">
      <c r="A198" t="s">
        <v>310</v>
      </c>
      <c r="B198" s="1">
        <f t="shared" si="76"/>
        <v>2.52E-2</v>
      </c>
      <c r="C198" s="8">
        <f t="shared" ref="C198:N198" ca="1" si="95">B198*EXP($B$3*($B$2-B198)+$B$4*NORMSINV(RAND()))</f>
        <v>2.4957712862411136E-2</v>
      </c>
      <c r="D198" s="8">
        <f t="shared" ca="1" si="95"/>
        <v>2.3518156997928058E-2</v>
      </c>
      <c r="E198" s="8">
        <f t="shared" ca="1" si="95"/>
        <v>2.3464990300799776E-2</v>
      </c>
      <c r="F198" s="8">
        <f t="shared" ca="1" si="95"/>
        <v>2.2186630253792246E-2</v>
      </c>
      <c r="G198" s="8">
        <f t="shared" ca="1" si="95"/>
        <v>2.2663576449454589E-2</v>
      </c>
      <c r="H198" s="8">
        <f t="shared" ca="1" si="95"/>
        <v>2.4050443706405449E-2</v>
      </c>
      <c r="I198" s="8">
        <f t="shared" ca="1" si="95"/>
        <v>2.4092418779673299E-2</v>
      </c>
      <c r="J198" s="8">
        <f t="shared" ca="1" si="95"/>
        <v>2.5007126893259474E-2</v>
      </c>
      <c r="K198" s="8">
        <f t="shared" ca="1" si="95"/>
        <v>2.5874701652606205E-2</v>
      </c>
      <c r="L198" s="8">
        <f t="shared" ca="1" si="95"/>
        <v>2.5789803040033241E-2</v>
      </c>
      <c r="M198" s="8">
        <f t="shared" ca="1" si="95"/>
        <v>2.7033862501973732E-2</v>
      </c>
      <c r="N198" s="8">
        <f t="shared" ca="1" si="95"/>
        <v>2.6609336956106209E-2</v>
      </c>
    </row>
    <row r="199" spans="1:14">
      <c r="A199" t="s">
        <v>311</v>
      </c>
      <c r="B199" s="1">
        <f t="shared" si="76"/>
        <v>2.52E-2</v>
      </c>
      <c r="C199" s="8">
        <f t="shared" ref="C199:N199" ca="1" si="96">B199*EXP($B$3*($B$2-B199)+$B$4*NORMSINV(RAND()))</f>
        <v>2.534895240897227E-2</v>
      </c>
      <c r="D199" s="8">
        <f t="shared" ca="1" si="96"/>
        <v>2.5302708992298344E-2</v>
      </c>
      <c r="E199" s="8">
        <f t="shared" ca="1" si="96"/>
        <v>2.4403823003799053E-2</v>
      </c>
      <c r="F199" s="8">
        <f t="shared" ca="1" si="96"/>
        <v>2.3006928167528622E-2</v>
      </c>
      <c r="G199" s="8">
        <f t="shared" ca="1" si="96"/>
        <v>2.2487398466339431E-2</v>
      </c>
      <c r="H199" s="8">
        <f t="shared" ca="1" si="96"/>
        <v>2.3178177257571684E-2</v>
      </c>
      <c r="I199" s="8">
        <f t="shared" ca="1" si="96"/>
        <v>2.3808144744542747E-2</v>
      </c>
      <c r="J199" s="8">
        <f t="shared" ca="1" si="96"/>
        <v>2.3969582826828605E-2</v>
      </c>
      <c r="K199" s="8">
        <f t="shared" ca="1" si="96"/>
        <v>2.4143792835944183E-2</v>
      </c>
      <c r="L199" s="8">
        <f t="shared" ca="1" si="96"/>
        <v>2.4257640067903461E-2</v>
      </c>
      <c r="M199" s="8">
        <f t="shared" ca="1" si="96"/>
        <v>2.4492884159157097E-2</v>
      </c>
      <c r="N199" s="8">
        <f t="shared" ca="1" si="96"/>
        <v>2.4956515706526558E-2</v>
      </c>
    </row>
    <row r="200" spans="1:14">
      <c r="A200" t="s">
        <v>312</v>
      </c>
      <c r="B200" s="1">
        <f t="shared" si="76"/>
        <v>2.52E-2</v>
      </c>
      <c r="C200" s="8">
        <f t="shared" ref="C200:N200" ca="1" si="97">B200*EXP($B$3*($B$2-B200)+$B$4*NORMSINV(RAND()))</f>
        <v>2.6159423344894961E-2</v>
      </c>
      <c r="D200" s="8">
        <f t="shared" ca="1" si="97"/>
        <v>2.6167997878434816E-2</v>
      </c>
      <c r="E200" s="8">
        <f t="shared" ca="1" si="97"/>
        <v>2.6259199261404947E-2</v>
      </c>
      <c r="F200" s="8">
        <f t="shared" ca="1" si="97"/>
        <v>2.5535073946711402E-2</v>
      </c>
      <c r="G200" s="8">
        <f t="shared" ca="1" si="97"/>
        <v>2.6084668076971098E-2</v>
      </c>
      <c r="H200" s="8">
        <f t="shared" ca="1" si="97"/>
        <v>2.7151446053251684E-2</v>
      </c>
      <c r="I200" s="8">
        <f t="shared" ca="1" si="97"/>
        <v>2.6400838721538172E-2</v>
      </c>
      <c r="J200" s="8">
        <f t="shared" ca="1" si="97"/>
        <v>2.6129954294588462E-2</v>
      </c>
      <c r="K200" s="8">
        <f t="shared" ca="1" si="97"/>
        <v>2.5707678565433142E-2</v>
      </c>
      <c r="L200" s="8">
        <f t="shared" ca="1" si="97"/>
        <v>2.5537606539386297E-2</v>
      </c>
      <c r="M200" s="8">
        <f t="shared" ca="1" si="97"/>
        <v>2.6718128028029975E-2</v>
      </c>
      <c r="N200" s="8">
        <f t="shared" ca="1" si="97"/>
        <v>2.7711353003487732E-2</v>
      </c>
    </row>
    <row r="201" spans="1:14">
      <c r="A201" t="s">
        <v>313</v>
      </c>
      <c r="B201" s="1">
        <f t="shared" si="76"/>
        <v>2.52E-2</v>
      </c>
      <c r="C201" s="8">
        <f t="shared" ref="C201:N201" ca="1" si="98">B201*EXP($B$3*($B$2-B201)+$B$4*NORMSINV(RAND()))</f>
        <v>2.4203728834164516E-2</v>
      </c>
      <c r="D201" s="8">
        <f t="shared" ca="1" si="98"/>
        <v>2.4414353017977612E-2</v>
      </c>
      <c r="E201" s="8">
        <f t="shared" ca="1" si="98"/>
        <v>2.5125179756301075E-2</v>
      </c>
      <c r="F201" s="8">
        <f t="shared" ca="1" si="98"/>
        <v>2.524903266677845E-2</v>
      </c>
      <c r="G201" s="8">
        <f t="shared" ca="1" si="98"/>
        <v>2.4276728762238596E-2</v>
      </c>
      <c r="H201" s="8">
        <f t="shared" ca="1" si="98"/>
        <v>2.3672883679414974E-2</v>
      </c>
      <c r="I201" s="8">
        <f t="shared" ca="1" si="98"/>
        <v>2.3945959808421777E-2</v>
      </c>
      <c r="J201" s="8">
        <f t="shared" ca="1" si="98"/>
        <v>2.518319679232732E-2</v>
      </c>
      <c r="K201" s="8">
        <f t="shared" ca="1" si="98"/>
        <v>2.6439787502837438E-2</v>
      </c>
      <c r="L201" s="8">
        <f t="shared" ca="1" si="98"/>
        <v>2.5217970089555067E-2</v>
      </c>
      <c r="M201" s="8">
        <f t="shared" ca="1" si="98"/>
        <v>2.481139348480059E-2</v>
      </c>
      <c r="N201" s="8">
        <f t="shared" ca="1" si="98"/>
        <v>2.4423082335647241E-2</v>
      </c>
    </row>
    <row r="202" spans="1:14">
      <c r="A202" t="s">
        <v>314</v>
      </c>
      <c r="B202" s="1">
        <f t="shared" si="76"/>
        <v>2.52E-2</v>
      </c>
      <c r="C202" s="8">
        <f t="shared" ref="C202:N202" ca="1" si="99">B202*EXP($B$3*($B$2-B202)+$B$4*NORMSINV(RAND()))</f>
        <v>2.633298189557759E-2</v>
      </c>
      <c r="D202" s="8">
        <f t="shared" ca="1" si="99"/>
        <v>2.6187984375609968E-2</v>
      </c>
      <c r="E202" s="8">
        <f t="shared" ca="1" si="99"/>
        <v>2.7685309834832632E-2</v>
      </c>
      <c r="F202" s="8">
        <f t="shared" ca="1" si="99"/>
        <v>2.7509020496611945E-2</v>
      </c>
      <c r="G202" s="8">
        <f t="shared" ca="1" si="99"/>
        <v>2.6370042108409132E-2</v>
      </c>
      <c r="H202" s="8">
        <f t="shared" ca="1" si="99"/>
        <v>2.6721942124316649E-2</v>
      </c>
      <c r="I202" s="8">
        <f t="shared" ca="1" si="99"/>
        <v>2.7868736681117039E-2</v>
      </c>
      <c r="J202" s="8">
        <f t="shared" ca="1" si="99"/>
        <v>2.7302027396308229E-2</v>
      </c>
      <c r="K202" s="8">
        <f t="shared" ca="1" si="99"/>
        <v>2.7165753898280642E-2</v>
      </c>
      <c r="L202" s="8">
        <f t="shared" ca="1" si="99"/>
        <v>2.7830938981291738E-2</v>
      </c>
      <c r="M202" s="8">
        <f t="shared" ca="1" si="99"/>
        <v>2.8839958399080587E-2</v>
      </c>
      <c r="N202" s="8">
        <f t="shared" ca="1" si="99"/>
        <v>2.9179318489081469E-2</v>
      </c>
    </row>
    <row r="203" spans="1:14">
      <c r="A203" t="s">
        <v>315</v>
      </c>
      <c r="B203" s="1">
        <f t="shared" si="76"/>
        <v>2.52E-2</v>
      </c>
      <c r="C203" s="8">
        <f t="shared" ref="C203:N203" ca="1" si="100">B203*EXP($B$3*($B$2-B203)+$B$4*NORMSINV(RAND()))</f>
        <v>2.4721260728540476E-2</v>
      </c>
      <c r="D203" s="8">
        <f t="shared" ca="1" si="100"/>
        <v>2.6199209051498945E-2</v>
      </c>
      <c r="E203" s="8">
        <f t="shared" ca="1" si="100"/>
        <v>2.5205278378261326E-2</v>
      </c>
      <c r="F203" s="8">
        <f t="shared" ca="1" si="100"/>
        <v>2.5476764629126979E-2</v>
      </c>
      <c r="G203" s="8">
        <f t="shared" ca="1" si="100"/>
        <v>2.5395136154528944E-2</v>
      </c>
      <c r="H203" s="8">
        <f t="shared" ca="1" si="100"/>
        <v>2.6773257474133939E-2</v>
      </c>
      <c r="I203" s="8">
        <f t="shared" ca="1" si="100"/>
        <v>2.6784594884413551E-2</v>
      </c>
      <c r="J203" s="8">
        <f t="shared" ca="1" si="100"/>
        <v>2.5984195419738936E-2</v>
      </c>
      <c r="K203" s="8">
        <f t="shared" ca="1" si="100"/>
        <v>2.4184355374013134E-2</v>
      </c>
      <c r="L203" s="8">
        <f t="shared" ca="1" si="100"/>
        <v>2.4911297348001082E-2</v>
      </c>
      <c r="M203" s="8">
        <f t="shared" ca="1" si="100"/>
        <v>2.4566206645668599E-2</v>
      </c>
      <c r="N203" s="8">
        <f t="shared" ca="1" si="100"/>
        <v>2.3618851011158366E-2</v>
      </c>
    </row>
    <row r="204" spans="1:14">
      <c r="A204" t="s">
        <v>316</v>
      </c>
      <c r="B204" s="1">
        <f t="shared" si="76"/>
        <v>2.52E-2</v>
      </c>
      <c r="C204" s="8">
        <f t="shared" ref="C204:N204" ca="1" si="101">B204*EXP($B$3*($B$2-B204)+$B$4*NORMSINV(RAND()))</f>
        <v>2.5787787714732308E-2</v>
      </c>
      <c r="D204" s="8">
        <f t="shared" ca="1" si="101"/>
        <v>2.586885551941322E-2</v>
      </c>
      <c r="E204" s="8">
        <f t="shared" ca="1" si="101"/>
        <v>2.5450171213815265E-2</v>
      </c>
      <c r="F204" s="8">
        <f t="shared" ca="1" si="101"/>
        <v>2.3816318053797789E-2</v>
      </c>
      <c r="G204" s="8">
        <f t="shared" ca="1" si="101"/>
        <v>2.3494006606005736E-2</v>
      </c>
      <c r="H204" s="8">
        <f t="shared" ca="1" si="101"/>
        <v>2.4300909452605279E-2</v>
      </c>
      <c r="I204" s="8">
        <f t="shared" ca="1" si="101"/>
        <v>2.2882645093149388E-2</v>
      </c>
      <c r="J204" s="8">
        <f t="shared" ca="1" si="101"/>
        <v>2.1629413722077686E-2</v>
      </c>
      <c r="K204" s="8">
        <f t="shared" ca="1" si="101"/>
        <v>2.1288989658062377E-2</v>
      </c>
      <c r="L204" s="8">
        <f t="shared" ca="1" si="101"/>
        <v>2.0109956513938571E-2</v>
      </c>
      <c r="M204" s="8">
        <f t="shared" ca="1" si="101"/>
        <v>2.0317080192188301E-2</v>
      </c>
      <c r="N204" s="8">
        <f t="shared" ca="1" si="101"/>
        <v>1.9849261930776286E-2</v>
      </c>
    </row>
    <row r="205" spans="1:14">
      <c r="A205" t="s">
        <v>317</v>
      </c>
      <c r="B205" s="1">
        <f t="shared" si="76"/>
        <v>2.52E-2</v>
      </c>
      <c r="C205" s="8">
        <f t="shared" ref="C205:N205" ca="1" si="102">B205*EXP($B$3*($B$2-B205)+$B$4*NORMSINV(RAND()))</f>
        <v>2.3885644334516638E-2</v>
      </c>
      <c r="D205" s="8">
        <f t="shared" ca="1" si="102"/>
        <v>2.3859383224447396E-2</v>
      </c>
      <c r="E205" s="8">
        <f t="shared" ca="1" si="102"/>
        <v>2.4218558361183345E-2</v>
      </c>
      <c r="F205" s="8">
        <f t="shared" ca="1" si="102"/>
        <v>2.3797226546619598E-2</v>
      </c>
      <c r="G205" s="8">
        <f t="shared" ca="1" si="102"/>
        <v>2.3779509978845929E-2</v>
      </c>
      <c r="H205" s="8">
        <f t="shared" ca="1" si="102"/>
        <v>2.3283184624737805E-2</v>
      </c>
      <c r="I205" s="8">
        <f t="shared" ca="1" si="102"/>
        <v>2.3665699228493202E-2</v>
      </c>
      <c r="J205" s="8">
        <f t="shared" ca="1" si="102"/>
        <v>2.2950230554882003E-2</v>
      </c>
      <c r="K205" s="8">
        <f t="shared" ca="1" si="102"/>
        <v>2.361857505190244E-2</v>
      </c>
      <c r="L205" s="8">
        <f t="shared" ca="1" si="102"/>
        <v>2.3672011556102986E-2</v>
      </c>
      <c r="M205" s="8">
        <f t="shared" ca="1" si="102"/>
        <v>2.3494988838591333E-2</v>
      </c>
      <c r="N205" s="8">
        <f t="shared" ca="1" si="102"/>
        <v>2.2966302430449274E-2</v>
      </c>
    </row>
    <row r="206" spans="1:14">
      <c r="A206" t="s">
        <v>318</v>
      </c>
      <c r="B206" s="1">
        <f t="shared" si="76"/>
        <v>2.52E-2</v>
      </c>
      <c r="C206" s="8">
        <f t="shared" ref="C206:N206" ca="1" si="103">B206*EXP($B$3*($B$2-B206)+$B$4*NORMSINV(RAND()))</f>
        <v>2.4452100833113149E-2</v>
      </c>
      <c r="D206" s="8">
        <f t="shared" ca="1" si="103"/>
        <v>2.4109700611434533E-2</v>
      </c>
      <c r="E206" s="8">
        <f t="shared" ca="1" si="103"/>
        <v>2.4093742496848057E-2</v>
      </c>
      <c r="F206" s="8">
        <f t="shared" ca="1" si="103"/>
        <v>2.2580463152615016E-2</v>
      </c>
      <c r="G206" s="8">
        <f t="shared" ca="1" si="103"/>
        <v>2.279402823684713E-2</v>
      </c>
      <c r="H206" s="8">
        <f t="shared" ca="1" si="103"/>
        <v>2.2871732381963064E-2</v>
      </c>
      <c r="I206" s="8">
        <f t="shared" ca="1" si="103"/>
        <v>2.2488953564479455E-2</v>
      </c>
      <c r="J206" s="8">
        <f t="shared" ca="1" si="103"/>
        <v>2.2037371674969313E-2</v>
      </c>
      <c r="K206" s="8">
        <f t="shared" ca="1" si="103"/>
        <v>2.2210540611875964E-2</v>
      </c>
      <c r="L206" s="8">
        <f t="shared" ca="1" si="103"/>
        <v>2.2513098282270359E-2</v>
      </c>
      <c r="M206" s="8">
        <f t="shared" ca="1" si="103"/>
        <v>2.1952978619105352E-2</v>
      </c>
      <c r="N206" s="8">
        <f t="shared" ca="1" si="103"/>
        <v>2.0126768189269059E-2</v>
      </c>
    </row>
    <row r="207" spans="1:14">
      <c r="A207" t="s">
        <v>319</v>
      </c>
      <c r="B207" s="1">
        <f t="shared" si="76"/>
        <v>2.52E-2</v>
      </c>
      <c r="C207" s="8">
        <f t="shared" ref="C207:N207" ca="1" si="104">B207*EXP($B$3*($B$2-B207)+$B$4*NORMSINV(RAND()))</f>
        <v>2.4743625120556386E-2</v>
      </c>
      <c r="D207" s="8">
        <f t="shared" ca="1" si="104"/>
        <v>2.4603115426395317E-2</v>
      </c>
      <c r="E207" s="8">
        <f t="shared" ca="1" si="104"/>
        <v>2.3953474029041563E-2</v>
      </c>
      <c r="F207" s="8">
        <f t="shared" ca="1" si="104"/>
        <v>2.38177302825388E-2</v>
      </c>
      <c r="G207" s="8">
        <f t="shared" ca="1" si="104"/>
        <v>2.3589793300949638E-2</v>
      </c>
      <c r="H207" s="8">
        <f t="shared" ca="1" si="104"/>
        <v>2.3942271716305363E-2</v>
      </c>
      <c r="I207" s="8">
        <f t="shared" ca="1" si="104"/>
        <v>2.4273444724198925E-2</v>
      </c>
      <c r="J207" s="8">
        <f t="shared" ca="1" si="104"/>
        <v>2.4768101388920435E-2</v>
      </c>
      <c r="K207" s="8">
        <f t="shared" ca="1" si="104"/>
        <v>2.3575588750693936E-2</v>
      </c>
      <c r="L207" s="8">
        <f t="shared" ca="1" si="104"/>
        <v>2.2986113529618393E-2</v>
      </c>
      <c r="M207" s="8">
        <f t="shared" ca="1" si="104"/>
        <v>2.2237402804529745E-2</v>
      </c>
      <c r="N207" s="8">
        <f t="shared" ca="1" si="104"/>
        <v>2.1656437634696605E-2</v>
      </c>
    </row>
    <row r="208" spans="1:14">
      <c r="A208" t="s">
        <v>320</v>
      </c>
      <c r="B208" s="1">
        <f t="shared" si="76"/>
        <v>2.52E-2</v>
      </c>
      <c r="C208" s="8">
        <f t="shared" ref="C208:N208" ca="1" si="105">B208*EXP($B$3*($B$2-B208)+$B$4*NORMSINV(RAND()))</f>
        <v>2.5612157808233643E-2</v>
      </c>
      <c r="D208" s="8">
        <f t="shared" ca="1" si="105"/>
        <v>2.5435850200613466E-2</v>
      </c>
      <c r="E208" s="8">
        <f t="shared" ca="1" si="105"/>
        <v>2.5509724467957177E-2</v>
      </c>
      <c r="F208" s="8">
        <f t="shared" ca="1" si="105"/>
        <v>2.5632807918351798E-2</v>
      </c>
      <c r="G208" s="8">
        <f t="shared" ca="1" si="105"/>
        <v>2.6074714351087293E-2</v>
      </c>
      <c r="H208" s="8">
        <f t="shared" ca="1" si="105"/>
        <v>2.4889401809818697E-2</v>
      </c>
      <c r="I208" s="8">
        <f t="shared" ca="1" si="105"/>
        <v>2.506500851728008E-2</v>
      </c>
      <c r="J208" s="8">
        <f t="shared" ca="1" si="105"/>
        <v>2.6708267434935914E-2</v>
      </c>
      <c r="K208" s="8">
        <f t="shared" ca="1" si="105"/>
        <v>2.7279380046304223E-2</v>
      </c>
      <c r="L208" s="8">
        <f t="shared" ca="1" si="105"/>
        <v>2.7334233814528874E-2</v>
      </c>
      <c r="M208" s="8">
        <f t="shared" ca="1" si="105"/>
        <v>2.7146177898296407E-2</v>
      </c>
      <c r="N208" s="8">
        <f t="shared" ca="1" si="105"/>
        <v>2.67090281309478E-2</v>
      </c>
    </row>
    <row r="209" spans="1:14">
      <c r="A209" t="s">
        <v>321</v>
      </c>
      <c r="B209" s="1">
        <f t="shared" si="76"/>
        <v>2.52E-2</v>
      </c>
      <c r="C209" s="8">
        <f t="shared" ref="C209:N209" ca="1" si="106">B209*EXP($B$3*($B$2-B209)+$B$4*NORMSINV(RAND()))</f>
        <v>2.5373736575695513E-2</v>
      </c>
      <c r="D209" s="8">
        <f t="shared" ca="1" si="106"/>
        <v>2.4402041412210345E-2</v>
      </c>
      <c r="E209" s="8">
        <f t="shared" ca="1" si="106"/>
        <v>2.3697631540373017E-2</v>
      </c>
      <c r="F209" s="8">
        <f t="shared" ca="1" si="106"/>
        <v>2.3111734422725683E-2</v>
      </c>
      <c r="G209" s="8">
        <f t="shared" ca="1" si="106"/>
        <v>2.2686985705153956E-2</v>
      </c>
      <c r="H209" s="8">
        <f t="shared" ca="1" si="106"/>
        <v>2.2087998671227425E-2</v>
      </c>
      <c r="I209" s="8">
        <f t="shared" ca="1" si="106"/>
        <v>2.2035782600821226E-2</v>
      </c>
      <c r="J209" s="8">
        <f t="shared" ca="1" si="106"/>
        <v>2.2863514415847462E-2</v>
      </c>
      <c r="K209" s="8">
        <f t="shared" ca="1" si="106"/>
        <v>2.3148934274568867E-2</v>
      </c>
      <c r="L209" s="8">
        <f t="shared" ca="1" si="106"/>
        <v>2.2274580083525432E-2</v>
      </c>
      <c r="M209" s="8">
        <f t="shared" ca="1" si="106"/>
        <v>2.2015014518619817E-2</v>
      </c>
      <c r="N209" s="8">
        <f t="shared" ca="1" si="106"/>
        <v>2.1548378518512292E-2</v>
      </c>
    </row>
    <row r="210" spans="1:14">
      <c r="A210" t="s">
        <v>322</v>
      </c>
      <c r="B210" s="1">
        <f t="shared" si="76"/>
        <v>2.52E-2</v>
      </c>
      <c r="C210" s="8">
        <f t="shared" ref="C210:N210" ca="1" si="107">B210*EXP($B$3*($B$2-B210)+$B$4*NORMSINV(RAND()))</f>
        <v>2.4674025882319862E-2</v>
      </c>
      <c r="D210" s="8">
        <f t="shared" ca="1" si="107"/>
        <v>2.4575696794276212E-2</v>
      </c>
      <c r="E210" s="8">
        <f t="shared" ca="1" si="107"/>
        <v>2.488287801585095E-2</v>
      </c>
      <c r="F210" s="8">
        <f t="shared" ca="1" si="107"/>
        <v>2.4770347518838578E-2</v>
      </c>
      <c r="G210" s="8">
        <f t="shared" ca="1" si="107"/>
        <v>2.5013431293930306E-2</v>
      </c>
      <c r="H210" s="8">
        <f t="shared" ca="1" si="107"/>
        <v>2.6135608931400999E-2</v>
      </c>
      <c r="I210" s="8">
        <f t="shared" ca="1" si="107"/>
        <v>2.8107226793793551E-2</v>
      </c>
      <c r="J210" s="8">
        <f t="shared" ca="1" si="107"/>
        <v>2.8306387439883268E-2</v>
      </c>
      <c r="K210" s="8">
        <f t="shared" ca="1" si="107"/>
        <v>2.7344665111866496E-2</v>
      </c>
      <c r="L210" s="8">
        <f t="shared" ca="1" si="107"/>
        <v>2.6878486690658798E-2</v>
      </c>
      <c r="M210" s="8">
        <f t="shared" ca="1" si="107"/>
        <v>2.7031954880714394E-2</v>
      </c>
      <c r="N210" s="8">
        <f t="shared" ca="1" si="107"/>
        <v>2.7677106860680964E-2</v>
      </c>
    </row>
    <row r="211" spans="1:14">
      <c r="A211" t="s">
        <v>323</v>
      </c>
      <c r="B211" s="1">
        <f t="shared" si="76"/>
        <v>2.52E-2</v>
      </c>
      <c r="C211" s="8">
        <f t="shared" ref="C211:N211" ca="1" si="108">B211*EXP($B$3*($B$2-B211)+$B$4*NORMSINV(RAND()))</f>
        <v>2.5887147757238081E-2</v>
      </c>
      <c r="D211" s="8">
        <f t="shared" ca="1" si="108"/>
        <v>2.6408895520308305E-2</v>
      </c>
      <c r="E211" s="8">
        <f t="shared" ca="1" si="108"/>
        <v>2.5340974468500199E-2</v>
      </c>
      <c r="F211" s="8">
        <f t="shared" ca="1" si="108"/>
        <v>2.5593033602184134E-2</v>
      </c>
      <c r="G211" s="8">
        <f t="shared" ca="1" si="108"/>
        <v>2.5939226694558695E-2</v>
      </c>
      <c r="H211" s="8">
        <f t="shared" ca="1" si="108"/>
        <v>2.4823815443878978E-2</v>
      </c>
      <c r="I211" s="8">
        <f t="shared" ca="1" si="108"/>
        <v>2.4351311475673029E-2</v>
      </c>
      <c r="J211" s="8">
        <f t="shared" ca="1" si="108"/>
        <v>2.4394273106638026E-2</v>
      </c>
      <c r="K211" s="8">
        <f t="shared" ca="1" si="108"/>
        <v>2.4228366910611442E-2</v>
      </c>
      <c r="L211" s="8">
        <f t="shared" ca="1" si="108"/>
        <v>2.4393335443564229E-2</v>
      </c>
      <c r="M211" s="8">
        <f t="shared" ca="1" si="108"/>
        <v>2.3628565979392883E-2</v>
      </c>
      <c r="N211" s="8">
        <f t="shared" ca="1" si="108"/>
        <v>2.4971441775469456E-2</v>
      </c>
    </row>
    <row r="212" spans="1:14">
      <c r="A212" t="s">
        <v>324</v>
      </c>
      <c r="B212" s="1">
        <f t="shared" si="76"/>
        <v>2.52E-2</v>
      </c>
      <c r="C212" s="8">
        <f t="shared" ref="C212:N212" ca="1" si="109">B212*EXP($B$3*($B$2-B212)+$B$4*NORMSINV(RAND()))</f>
        <v>2.5883641721032663E-2</v>
      </c>
      <c r="D212" s="8">
        <f t="shared" ca="1" si="109"/>
        <v>2.7198231834372602E-2</v>
      </c>
      <c r="E212" s="8">
        <f t="shared" ca="1" si="109"/>
        <v>2.915340853375499E-2</v>
      </c>
      <c r="F212" s="8">
        <f t="shared" ca="1" si="109"/>
        <v>2.8545480401370015E-2</v>
      </c>
      <c r="G212" s="8">
        <f t="shared" ca="1" si="109"/>
        <v>2.9018694286619011E-2</v>
      </c>
      <c r="H212" s="8">
        <f t="shared" ca="1" si="109"/>
        <v>3.0239430075030445E-2</v>
      </c>
      <c r="I212" s="8">
        <f t="shared" ca="1" si="109"/>
        <v>3.0107763728458109E-2</v>
      </c>
      <c r="J212" s="8">
        <f t="shared" ca="1" si="109"/>
        <v>3.0163224307143299E-2</v>
      </c>
      <c r="K212" s="8">
        <f t="shared" ca="1" si="109"/>
        <v>3.0250087000975995E-2</v>
      </c>
      <c r="L212" s="8">
        <f t="shared" ca="1" si="109"/>
        <v>2.9209568484613611E-2</v>
      </c>
      <c r="M212" s="8">
        <f t="shared" ca="1" si="109"/>
        <v>3.0009947549709388E-2</v>
      </c>
      <c r="N212" s="8">
        <f t="shared" ca="1" si="109"/>
        <v>2.9118261002557488E-2</v>
      </c>
    </row>
    <row r="213" spans="1:14">
      <c r="A213" t="s">
        <v>325</v>
      </c>
      <c r="B213" s="1">
        <f t="shared" si="76"/>
        <v>2.52E-2</v>
      </c>
      <c r="C213" s="8">
        <f t="shared" ref="C213:N213" ca="1" si="110">B213*EXP($B$3*($B$2-B213)+$B$4*NORMSINV(RAND()))</f>
        <v>2.5195717363383389E-2</v>
      </c>
      <c r="D213" s="8">
        <f t="shared" ca="1" si="110"/>
        <v>2.4959525127825694E-2</v>
      </c>
      <c r="E213" s="8">
        <f t="shared" ca="1" si="110"/>
        <v>2.4979364254029763E-2</v>
      </c>
      <c r="F213" s="8">
        <f t="shared" ca="1" si="110"/>
        <v>2.5584386441286869E-2</v>
      </c>
      <c r="G213" s="8">
        <f t="shared" ca="1" si="110"/>
        <v>2.4112440673014258E-2</v>
      </c>
      <c r="H213" s="8">
        <f t="shared" ca="1" si="110"/>
        <v>2.522225918819964E-2</v>
      </c>
      <c r="I213" s="8">
        <f t="shared" ca="1" si="110"/>
        <v>2.5285041857863243E-2</v>
      </c>
      <c r="J213" s="8">
        <f t="shared" ca="1" si="110"/>
        <v>2.4369751756451733E-2</v>
      </c>
      <c r="K213" s="8">
        <f t="shared" ca="1" si="110"/>
        <v>2.5741568011915499E-2</v>
      </c>
      <c r="L213" s="8">
        <f t="shared" ca="1" si="110"/>
        <v>2.5186603733179817E-2</v>
      </c>
      <c r="M213" s="8">
        <f t="shared" ca="1" si="110"/>
        <v>2.4745748861500591E-2</v>
      </c>
      <c r="N213" s="8">
        <f t="shared" ca="1" si="110"/>
        <v>2.4385420052801678E-2</v>
      </c>
    </row>
    <row r="214" spans="1:14">
      <c r="A214" t="s">
        <v>326</v>
      </c>
      <c r="B214" s="1">
        <f t="shared" si="76"/>
        <v>2.52E-2</v>
      </c>
      <c r="C214" s="8">
        <f t="shared" ref="C214:N214" ca="1" si="111">B214*EXP($B$3*($B$2-B214)+$B$4*NORMSINV(RAND()))</f>
        <v>2.6369832282881187E-2</v>
      </c>
      <c r="D214" s="8">
        <f t="shared" ca="1" si="111"/>
        <v>2.5438849541164422E-2</v>
      </c>
      <c r="E214" s="8">
        <f t="shared" ca="1" si="111"/>
        <v>2.5428366523700965E-2</v>
      </c>
      <c r="F214" s="8">
        <f t="shared" ca="1" si="111"/>
        <v>2.5023107606232307E-2</v>
      </c>
      <c r="G214" s="8">
        <f t="shared" ca="1" si="111"/>
        <v>2.6206263043877107E-2</v>
      </c>
      <c r="H214" s="8">
        <f t="shared" ca="1" si="111"/>
        <v>2.5473328995362976E-2</v>
      </c>
      <c r="I214" s="8">
        <f t="shared" ca="1" si="111"/>
        <v>2.5356908843260913E-2</v>
      </c>
      <c r="J214" s="8">
        <f t="shared" ca="1" si="111"/>
        <v>2.6497409773352468E-2</v>
      </c>
      <c r="K214" s="8">
        <f t="shared" ca="1" si="111"/>
        <v>2.7589896489082461E-2</v>
      </c>
      <c r="L214" s="8">
        <f t="shared" ca="1" si="111"/>
        <v>2.7296666768075087E-2</v>
      </c>
      <c r="M214" s="8">
        <f t="shared" ca="1" si="111"/>
        <v>2.7195322399851615E-2</v>
      </c>
      <c r="N214" s="8">
        <f t="shared" ca="1" si="111"/>
        <v>2.7274552010107634E-2</v>
      </c>
    </row>
  </sheetData>
  <pageMargins left="0.7" right="0.7" top="0.75" bottom="0.75" header="0.3" footer="0.3"/>
  <drawing r:id="rId1"/>
  <legacyDrawing r:id="rId2"/>
  <oleObjects>
    <oleObject progId="Equation.3" shapeId="1025" r:id="rId3"/>
  </oleObjec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X10"/>
  <sheetViews>
    <sheetView workbookViewId="0">
      <selection activeCell="C12" sqref="C12"/>
    </sheetView>
  </sheetViews>
  <sheetFormatPr defaultRowHeight="15"/>
  <sheetData>
    <row r="1" spans="1:24">
      <c r="A1">
        <v>95.756760276670605</v>
      </c>
      <c r="B1">
        <v>92.234000427926631</v>
      </c>
      <c r="C1">
        <v>91.042065349198481</v>
      </c>
      <c r="D1">
        <v>87.999450081982033</v>
      </c>
      <c r="E1">
        <v>79.25503342309031</v>
      </c>
      <c r="F1">
        <v>79.478912086247703</v>
      </c>
      <c r="G1">
        <v>80.453139223448431</v>
      </c>
      <c r="H1">
        <v>80.724444649369971</v>
      </c>
      <c r="I1">
        <v>83.047359735180649</v>
      </c>
      <c r="J1">
        <v>79.653632322071005</v>
      </c>
      <c r="K1">
        <v>77.603507693650471</v>
      </c>
      <c r="L1">
        <v>78.696800344753001</v>
      </c>
    </row>
    <row r="2" spans="1:24">
      <c r="A2">
        <v>99.660466270481805</v>
      </c>
      <c r="B2">
        <v>98.575845009576213</v>
      </c>
      <c r="C2">
        <v>95.562531755364517</v>
      </c>
      <c r="D2">
        <v>97.119617148355701</v>
      </c>
      <c r="E2">
        <v>101.49379393097132</v>
      </c>
      <c r="F2">
        <v>101.72995230567707</v>
      </c>
      <c r="G2">
        <v>97.717706650788728</v>
      </c>
      <c r="H2">
        <v>99.793523566715251</v>
      </c>
      <c r="I2">
        <v>99.057038074139285</v>
      </c>
      <c r="J2">
        <v>98.777954231153117</v>
      </c>
      <c r="K2">
        <v>98.7247100973849</v>
      </c>
      <c r="L2">
        <v>96.345898282942429</v>
      </c>
    </row>
    <row r="3" spans="1:24">
      <c r="A3">
        <v>98.691706211660659</v>
      </c>
      <c r="B3">
        <v>94.898658503989722</v>
      </c>
      <c r="C3">
        <v>95.551933956057283</v>
      </c>
      <c r="D3">
        <v>92.858789791272031</v>
      </c>
      <c r="E3">
        <v>97.016198924134471</v>
      </c>
      <c r="F3">
        <v>93.328434782501532</v>
      </c>
      <c r="G3">
        <v>92.938624550589594</v>
      </c>
      <c r="H3">
        <v>91.274512045575662</v>
      </c>
      <c r="I3">
        <v>94.450602616803025</v>
      </c>
      <c r="J3">
        <v>96.392330459074657</v>
      </c>
      <c r="K3">
        <v>94.666339434340827</v>
      </c>
      <c r="L3">
        <v>95.957813448326306</v>
      </c>
    </row>
    <row r="4" spans="1:24">
      <c r="A4">
        <v>98.062691815294556</v>
      </c>
      <c r="B4">
        <v>94.199532416274167</v>
      </c>
      <c r="C4">
        <v>89.07290013015799</v>
      </c>
      <c r="D4">
        <v>87.8562324399945</v>
      </c>
      <c r="E4">
        <v>90.013333771916635</v>
      </c>
      <c r="F4">
        <v>88.59174815788424</v>
      </c>
      <c r="G4">
        <v>86.698960171247151</v>
      </c>
      <c r="H4">
        <v>86.576033197116331</v>
      </c>
      <c r="I4">
        <v>84.882732396983144</v>
      </c>
      <c r="J4">
        <v>83.847228736011019</v>
      </c>
      <c r="K4">
        <v>79.691550116523089</v>
      </c>
      <c r="L4">
        <v>79.590261539044832</v>
      </c>
    </row>
    <row r="5" spans="1:24">
      <c r="A5">
        <v>97.573956826724711</v>
      </c>
      <c r="B5">
        <v>100.85544504845015</v>
      </c>
      <c r="C5">
        <v>101.54060958556217</v>
      </c>
      <c r="D5">
        <v>103.66964258856315</v>
      </c>
      <c r="E5">
        <v>108.31736370813361</v>
      </c>
      <c r="F5">
        <v>106.91159336864284</v>
      </c>
      <c r="G5">
        <v>107.26341684376949</v>
      </c>
      <c r="H5">
        <v>102.85544508000343</v>
      </c>
      <c r="I5">
        <v>103.92590664239967</v>
      </c>
      <c r="J5">
        <v>103.22434131070906</v>
      </c>
      <c r="K5">
        <v>108.81216131971462</v>
      </c>
      <c r="L5">
        <v>104.96259522573342</v>
      </c>
    </row>
    <row r="6" spans="1:24">
      <c r="A6">
        <v>104.38428984915515</v>
      </c>
      <c r="B6">
        <v>105.35231573178082</v>
      </c>
      <c r="C6">
        <v>104.12750325603295</v>
      </c>
      <c r="D6">
        <v>100.93491741809491</v>
      </c>
      <c r="E6">
        <v>100.78803850860372</v>
      </c>
      <c r="F6">
        <v>98.479063433095916</v>
      </c>
      <c r="G6">
        <v>106.14365254147377</v>
      </c>
      <c r="H6">
        <v>102.62804247802265</v>
      </c>
      <c r="I6">
        <v>96.954170178826814</v>
      </c>
      <c r="J6">
        <v>95.808808181864649</v>
      </c>
      <c r="K6">
        <v>96.158494488678315</v>
      </c>
      <c r="L6">
        <v>100.3641125191759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</row>
    <row r="7" spans="1:24">
      <c r="A7">
        <v>100.2934798219965</v>
      </c>
      <c r="B7">
        <v>99.588617059636888</v>
      </c>
      <c r="C7">
        <v>102.70272026151646</v>
      </c>
      <c r="D7">
        <v>105.64339533981888</v>
      </c>
      <c r="E7">
        <v>107.07376831417713</v>
      </c>
      <c r="F7">
        <v>108.98632723378282</v>
      </c>
      <c r="G7">
        <v>118.27126358462036</v>
      </c>
      <c r="H7">
        <v>116.82079070842181</v>
      </c>
      <c r="I7">
        <v>116.78456866420137</v>
      </c>
      <c r="J7">
        <v>116.02241748160984</v>
      </c>
      <c r="K7">
        <v>117.82020436263176</v>
      </c>
      <c r="L7">
        <v>114.62254736037023</v>
      </c>
    </row>
    <row r="8" spans="1:24">
      <c r="A8">
        <v>99.423368663395166</v>
      </c>
      <c r="B8">
        <v>99.752329546505891</v>
      </c>
      <c r="C8">
        <v>102.47274520411241</v>
      </c>
      <c r="D8">
        <v>102.79419988699608</v>
      </c>
      <c r="E8">
        <v>102.23756777522603</v>
      </c>
      <c r="F8">
        <v>102.3124301841255</v>
      </c>
      <c r="G8">
        <v>100.05259485159185</v>
      </c>
      <c r="H8">
        <v>100.97232108249258</v>
      </c>
      <c r="I8">
        <v>100.90016958964985</v>
      </c>
      <c r="J8">
        <v>102.33802941051893</v>
      </c>
      <c r="K8">
        <v>106.12213546392427</v>
      </c>
      <c r="L8">
        <v>105.08042293804066</v>
      </c>
    </row>
    <row r="9" spans="1:24">
      <c r="A9">
        <v>98.46520778500286</v>
      </c>
      <c r="B9">
        <v>96.873150782735792</v>
      </c>
      <c r="C9">
        <v>93.91587385431481</v>
      </c>
      <c r="D9">
        <v>94.131621514794205</v>
      </c>
      <c r="E9">
        <v>92.010925449538675</v>
      </c>
      <c r="F9">
        <v>92.606761164960417</v>
      </c>
      <c r="G9">
        <v>91.646179102485632</v>
      </c>
      <c r="H9">
        <v>94.88239663345054</v>
      </c>
      <c r="I9">
        <v>94.730313356046452</v>
      </c>
      <c r="J9">
        <v>92.279047630189297</v>
      </c>
      <c r="K9">
        <v>93.619601510346342</v>
      </c>
      <c r="L9">
        <v>95.514796269186178</v>
      </c>
    </row>
    <row r="10" spans="1:24">
      <c r="A10">
        <v>100.87759766814173</v>
      </c>
      <c r="B10">
        <v>103.26938626687358</v>
      </c>
      <c r="C10">
        <v>100.26046736428866</v>
      </c>
      <c r="D10">
        <v>102.91606857059786</v>
      </c>
      <c r="E10">
        <v>100.38317632968486</v>
      </c>
      <c r="F10">
        <v>105.68610033534532</v>
      </c>
      <c r="G10">
        <v>101.01819706171062</v>
      </c>
      <c r="H10">
        <v>96.45601259054466</v>
      </c>
      <c r="I10">
        <v>98.855982272593707</v>
      </c>
      <c r="J10">
        <v>97.956009153206608</v>
      </c>
      <c r="K10">
        <v>97.692641297100977</v>
      </c>
      <c r="L10">
        <v>94.307258537889538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10"/>
  <sheetViews>
    <sheetView workbookViewId="0">
      <selection activeCell="K19" sqref="K19"/>
    </sheetView>
  </sheetViews>
  <sheetFormatPr defaultRowHeight="15"/>
  <sheetData>
    <row r="1" spans="1:12">
      <c r="A1">
        <v>2.4129434348093521E-2</v>
      </c>
      <c r="B1">
        <v>2.324053551645968E-2</v>
      </c>
      <c r="C1">
        <v>2.2939015164201437E-2</v>
      </c>
      <c r="D1">
        <v>2.217125476436729E-2</v>
      </c>
      <c r="E1">
        <v>1.996709946726101E-2</v>
      </c>
      <c r="F1">
        <v>2.002250146846386E-2</v>
      </c>
      <c r="G1">
        <v>2.0266917301687459E-2</v>
      </c>
      <c r="H1">
        <v>2.033424228879881E-2</v>
      </c>
      <c r="I1">
        <v>2.0918328101044516E-2</v>
      </c>
      <c r="J1">
        <v>2.0062489002391937E-2</v>
      </c>
      <c r="K1">
        <v>1.9545142909282158E-2</v>
      </c>
      <c r="L1">
        <v>1.9819512025472632E-2</v>
      </c>
    </row>
    <row r="2" spans="1:12">
      <c r="A2">
        <v>2.5113116515491109E-2</v>
      </c>
      <c r="B2">
        <v>2.4838500873813368E-2</v>
      </c>
      <c r="C2">
        <v>2.4077963598820803E-2</v>
      </c>
      <c r="D2">
        <v>2.4469013916558185E-2</v>
      </c>
      <c r="E2">
        <v>2.5569739775536691E-2</v>
      </c>
      <c r="F2">
        <v>2.5627883304661536E-2</v>
      </c>
      <c r="G2">
        <v>2.4615815379192343E-2</v>
      </c>
      <c r="H2">
        <v>2.5137414143127184E-2</v>
      </c>
      <c r="I2">
        <v>2.4950586032468438E-2</v>
      </c>
      <c r="J2">
        <v>2.4878984548119636E-2</v>
      </c>
      <c r="K2">
        <v>2.4864270162187493E-2</v>
      </c>
      <c r="L2">
        <v>2.4263883276866318E-2</v>
      </c>
    </row>
    <row r="3" spans="1:12">
      <c r="A3">
        <v>2.4869001821438797E-2</v>
      </c>
      <c r="B3">
        <v>2.391195023134118E-2</v>
      </c>
      <c r="C3">
        <v>2.4075307466251177E-2</v>
      </c>
      <c r="D3">
        <v>2.3395524193590513E-2</v>
      </c>
      <c r="E3">
        <v>2.44417087117582E-2</v>
      </c>
      <c r="F3">
        <v>2.3511406595574699E-2</v>
      </c>
      <c r="G3">
        <v>2.3411993418221987E-2</v>
      </c>
      <c r="H3">
        <v>2.2991601144973731E-2</v>
      </c>
      <c r="I3">
        <v>2.3790417617321837E-2</v>
      </c>
      <c r="J3">
        <v>2.4278244177124968E-2</v>
      </c>
      <c r="K3">
        <v>2.3842277318963476E-2</v>
      </c>
      <c r="L3">
        <v>2.4166287911707288E-2</v>
      </c>
    </row>
    <row r="4" spans="1:12">
      <c r="A4">
        <v>2.4710498531046888E-2</v>
      </c>
      <c r="B4">
        <v>2.3735790842320106E-2</v>
      </c>
      <c r="C4">
        <v>2.2442850998341979E-2</v>
      </c>
      <c r="D4">
        <v>2.2135164994924912E-2</v>
      </c>
      <c r="E4">
        <v>2.2677483337659177E-2</v>
      </c>
      <c r="F4">
        <v>2.2318190757883504E-2</v>
      </c>
      <c r="G4">
        <v>2.1840238886488374E-2</v>
      </c>
      <c r="H4">
        <v>2.1808161986304617E-2</v>
      </c>
      <c r="I4">
        <v>2.1380537795504036E-2</v>
      </c>
      <c r="J4">
        <v>2.11186412399113E-2</v>
      </c>
      <c r="K4">
        <v>2.0070933698072026E-2</v>
      </c>
      <c r="L4">
        <v>2.0044420428849616E-2</v>
      </c>
    </row>
    <row r="5" spans="1:12">
      <c r="A5">
        <v>2.4587343792036927E-2</v>
      </c>
      <c r="B5">
        <v>2.5412906359337899E-2</v>
      </c>
      <c r="C5">
        <v>2.5584201224504395E-2</v>
      </c>
      <c r="D5">
        <v>2.6119254066198132E-2</v>
      </c>
      <c r="E5">
        <v>2.7288785426272721E-2</v>
      </c>
      <c r="F5">
        <v>2.693317976450792E-2</v>
      </c>
      <c r="G5">
        <v>2.7020366445624017E-2</v>
      </c>
      <c r="H5">
        <v>2.5908582699287266E-2</v>
      </c>
      <c r="I5">
        <v>2.6176838428258294E-2</v>
      </c>
      <c r="J5">
        <v>2.5998748011276298E-2</v>
      </c>
      <c r="K5">
        <v>2.740467990979728E-2</v>
      </c>
      <c r="L5">
        <v>2.6433735172182265E-2</v>
      </c>
    </row>
    <row r="6" spans="1:12">
      <c r="A6">
        <v>2.6303457443737247E-2</v>
      </c>
      <c r="B6">
        <v>2.6545976133099343E-2</v>
      </c>
      <c r="C6">
        <v>2.6235958322921998E-2</v>
      </c>
      <c r="D6">
        <v>2.5430203785092829E-2</v>
      </c>
      <c r="E6">
        <v>2.5391859581462565E-2</v>
      </c>
      <c r="F6">
        <v>2.4808844593062426E-2</v>
      </c>
      <c r="G6">
        <v>2.6738306555976941E-2</v>
      </c>
      <c r="H6">
        <v>2.5851320817852668E-2</v>
      </c>
      <c r="I6">
        <v>2.4420817628328314E-2</v>
      </c>
      <c r="J6">
        <v>2.4131063908239183E-2</v>
      </c>
      <c r="K6">
        <v>2.421787735167209E-2</v>
      </c>
      <c r="L6">
        <v>2.5275760892845559E-2</v>
      </c>
    </row>
    <row r="7" spans="1:12">
      <c r="A7">
        <v>2.5272627539972253E-2</v>
      </c>
      <c r="B7">
        <v>2.5093690592574453E-2</v>
      </c>
      <c r="C7">
        <v>2.5877002228615626E-2</v>
      </c>
      <c r="D7">
        <v>2.6616526356035827E-2</v>
      </c>
      <c r="E7">
        <v>2.6975466344524204E-2</v>
      </c>
      <c r="F7">
        <v>2.7455835366249362E-2</v>
      </c>
      <c r="G7">
        <v>2.9793295740780407E-2</v>
      </c>
      <c r="H7">
        <v>2.9426296798770724E-2</v>
      </c>
      <c r="I7">
        <v>2.9415563270498137E-2</v>
      </c>
      <c r="J7">
        <v>2.9221994790134865E-2</v>
      </c>
      <c r="K7">
        <v>2.9673173990477981E-2</v>
      </c>
      <c r="L7">
        <v>2.8866256883167411E-2</v>
      </c>
    </row>
    <row r="8" spans="1:12">
      <c r="A8">
        <v>2.5053371061198825E-2</v>
      </c>
      <c r="B8">
        <v>2.5134944553411798E-2</v>
      </c>
      <c r="C8">
        <v>2.5819059955477345E-2</v>
      </c>
      <c r="D8">
        <v>2.5898683438887706E-2</v>
      </c>
      <c r="E8">
        <v>2.5757077828839518E-2</v>
      </c>
      <c r="F8">
        <v>2.5774575226608809E-2</v>
      </c>
      <c r="G8">
        <v>2.5203943891800085E-2</v>
      </c>
      <c r="H8">
        <v>2.5434291391316369E-2</v>
      </c>
      <c r="I8">
        <v>2.5414777055120161E-2</v>
      </c>
      <c r="J8">
        <v>2.5775587190450911E-2</v>
      </c>
      <c r="K8">
        <v>2.6727265591237656E-2</v>
      </c>
      <c r="L8">
        <v>2.6463494082581324E-2</v>
      </c>
    </row>
    <row r="9" spans="1:12">
      <c r="A9">
        <v>2.4811927220124017E-2</v>
      </c>
      <c r="B9">
        <v>2.4409470722677771E-2</v>
      </c>
      <c r="C9">
        <v>2.3663079829533269E-2</v>
      </c>
      <c r="D9">
        <v>2.3716210413785955E-2</v>
      </c>
      <c r="E9">
        <v>2.3180704570472804E-2</v>
      </c>
      <c r="F9">
        <v>2.332961238755674E-2</v>
      </c>
      <c r="G9">
        <v>2.3086428552911518E-2</v>
      </c>
      <c r="H9">
        <v>2.3900426509649506E-2</v>
      </c>
      <c r="I9">
        <v>2.3860877842189144E-2</v>
      </c>
      <c r="J9">
        <v>2.3242240676249727E-2</v>
      </c>
      <c r="K9">
        <v>2.357866758690471E-2</v>
      </c>
      <c r="L9">
        <v>2.405473813379113E-2</v>
      </c>
    </row>
    <row r="10" spans="1:12">
      <c r="A10">
        <v>2.5419817494805604E-2</v>
      </c>
      <c r="B10">
        <v>2.602114491056149E-2</v>
      </c>
      <c r="C10">
        <v>2.5261638024499811E-2</v>
      </c>
      <c r="D10">
        <v>2.5929378866629878E-2</v>
      </c>
      <c r="E10">
        <v>2.5289885149194745E-2</v>
      </c>
      <c r="F10">
        <v>2.6624467684026328E-2</v>
      </c>
      <c r="G10">
        <v>2.5447171692710161E-2</v>
      </c>
      <c r="H10">
        <v>2.4296645319572392E-2</v>
      </c>
      <c r="I10">
        <v>2.4899883629135373E-2</v>
      </c>
      <c r="J10">
        <v>2.4671903972598674E-2</v>
      </c>
      <c r="K10">
        <v>2.460428253064037E-2</v>
      </c>
      <c r="L10">
        <v>2.3750418109281614E-2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P38"/>
  <sheetViews>
    <sheetView workbookViewId="0">
      <selection activeCell="A8" sqref="A8"/>
    </sheetView>
  </sheetViews>
  <sheetFormatPr defaultRowHeight="15"/>
  <cols>
    <col min="1" max="1" width="15.85546875" bestFit="1" customWidth="1"/>
    <col min="2" max="3" width="11.42578125" bestFit="1" customWidth="1"/>
  </cols>
  <sheetData>
    <row r="1" spans="1:42">
      <c r="A1" s="5" t="s">
        <v>14</v>
      </c>
      <c r="B1" s="5" t="s">
        <v>327</v>
      </c>
      <c r="C1" s="5" t="s">
        <v>328</v>
      </c>
      <c r="D1" s="5" t="s">
        <v>329</v>
      </c>
      <c r="E1" s="5"/>
    </row>
    <row r="2" spans="1:42">
      <c r="A2" t="s">
        <v>15</v>
      </c>
      <c r="B2" s="1">
        <v>5.0000000000000001E-4</v>
      </c>
      <c r="C2" s="1">
        <v>2.0000000000000001E-4</v>
      </c>
      <c r="D2">
        <v>0.5</v>
      </c>
    </row>
    <row r="3" spans="1:42">
      <c r="A3" t="s">
        <v>16</v>
      </c>
      <c r="B3" s="2">
        <v>0.03</v>
      </c>
      <c r="C3" s="2">
        <v>1.4999999999999999E-2</v>
      </c>
    </row>
    <row r="4" spans="1:42">
      <c r="A4" t="s">
        <v>18</v>
      </c>
      <c r="B4" s="3">
        <f>B2-(B3^2/2)</f>
        <v>5.0000000000000023E-5</v>
      </c>
      <c r="C4" s="3">
        <f>C2-(C3^2/2)</f>
        <v>8.7500000000000013E-5</v>
      </c>
    </row>
    <row r="5" spans="1:42">
      <c r="B5" s="6">
        <v>100</v>
      </c>
      <c r="C5" s="6">
        <v>100</v>
      </c>
    </row>
    <row r="6" spans="1:42">
      <c r="A6" t="s">
        <v>327</v>
      </c>
      <c r="P6" t="s">
        <v>328</v>
      </c>
    </row>
    <row r="7" spans="1:42">
      <c r="A7" s="4" t="s">
        <v>19</v>
      </c>
      <c r="B7" s="4" t="s">
        <v>1</v>
      </c>
      <c r="C7" s="4" t="s">
        <v>2</v>
      </c>
      <c r="D7" s="4" t="s">
        <v>3</v>
      </c>
      <c r="E7" s="4" t="s">
        <v>4</v>
      </c>
      <c r="F7" s="4" t="s">
        <v>5</v>
      </c>
      <c r="G7" s="4" t="s">
        <v>6</v>
      </c>
      <c r="H7" s="4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  <c r="P7" s="4" t="s">
        <v>19</v>
      </c>
      <c r="Q7" s="4" t="s">
        <v>1</v>
      </c>
      <c r="R7" s="4" t="s">
        <v>2</v>
      </c>
      <c r="S7" s="4" t="s">
        <v>3</v>
      </c>
      <c r="T7" s="4" t="s">
        <v>4</v>
      </c>
      <c r="U7" s="4" t="s">
        <v>5</v>
      </c>
      <c r="V7" s="4" t="s">
        <v>6</v>
      </c>
      <c r="W7" s="4" t="s">
        <v>7</v>
      </c>
      <c r="X7" s="4" t="s">
        <v>8</v>
      </c>
      <c r="Y7" s="4" t="s">
        <v>9</v>
      </c>
      <c r="Z7" s="4" t="s">
        <v>10</v>
      </c>
      <c r="AA7" s="4" t="s">
        <v>11</v>
      </c>
      <c r="AB7" s="4" t="s">
        <v>12</v>
      </c>
      <c r="AC7" s="4" t="s">
        <v>13</v>
      </c>
      <c r="AE7" s="4" t="s">
        <v>2</v>
      </c>
      <c r="AF7" s="4" t="s">
        <v>3</v>
      </c>
      <c r="AG7" s="4" t="s">
        <v>4</v>
      </c>
      <c r="AH7" s="4" t="s">
        <v>5</v>
      </c>
      <c r="AI7" s="4" t="s">
        <v>6</v>
      </c>
      <c r="AJ7" s="4" t="s">
        <v>7</v>
      </c>
      <c r="AK7" s="4" t="s">
        <v>8</v>
      </c>
      <c r="AL7" s="4" t="s">
        <v>9</v>
      </c>
      <c r="AM7" s="4" t="s">
        <v>10</v>
      </c>
      <c r="AN7" s="4" t="s">
        <v>11</v>
      </c>
      <c r="AO7" s="4" t="s">
        <v>12</v>
      </c>
      <c r="AP7" s="4" t="s">
        <v>13</v>
      </c>
    </row>
    <row r="8" spans="1:42">
      <c r="A8" t="s">
        <v>330</v>
      </c>
      <c r="B8" s="9">
        <f>$B$5</f>
        <v>100</v>
      </c>
      <c r="C8" s="9">
        <f ca="1">B8*EXP($B$4+$B$3*SQRT(1)*AE8)</f>
        <v>99.411496887462107</v>
      </c>
      <c r="D8" s="9">
        <f t="shared" ref="D8:N8" ca="1" si="0">C8*EXP($B$4+$B$3*SQRT(1)*AF8)</f>
        <v>95.939855679116818</v>
      </c>
      <c r="E8" s="9">
        <f t="shared" ca="1" si="0"/>
        <v>94.289017123498539</v>
      </c>
      <c r="F8" s="9">
        <f t="shared" ca="1" si="0"/>
        <v>99.476746366492435</v>
      </c>
      <c r="G8" s="9">
        <f t="shared" ca="1" si="0"/>
        <v>92.828118587798528</v>
      </c>
      <c r="H8" s="9">
        <f t="shared" ca="1" si="0"/>
        <v>98.18381306491618</v>
      </c>
      <c r="I8" s="9">
        <f t="shared" ca="1" si="0"/>
        <v>96.610293185318952</v>
      </c>
      <c r="J8" s="9">
        <f t="shared" ca="1" si="0"/>
        <v>99.411978674297913</v>
      </c>
      <c r="K8" s="9">
        <f t="shared" ca="1" si="0"/>
        <v>96.167766098505467</v>
      </c>
      <c r="L8" s="9">
        <f t="shared" ca="1" si="0"/>
        <v>94.800857842818914</v>
      </c>
      <c r="M8" s="9">
        <f t="shared" ca="1" si="0"/>
        <v>98.958351181040172</v>
      </c>
      <c r="N8" s="9">
        <f t="shared" ca="1" si="0"/>
        <v>94.245456804858307</v>
      </c>
      <c r="P8" t="s">
        <v>346</v>
      </c>
      <c r="Q8" s="9">
        <f>$B$5</f>
        <v>100</v>
      </c>
      <c r="R8" s="9">
        <f ca="1">Q8*EXP($C$4+$C$3*SQRT(1)*((AE8*$D$2)+SQRT(1-$D$2^2)*NORMSINV(RAND())))</f>
        <v>99.198805397210421</v>
      </c>
      <c r="S8" s="9">
        <f t="shared" ref="S8:AC8" ca="1" si="1">R8*EXP($C$4+$C$3*SQRT(1)*((AF8*$D$2)+SQRT(1-$D$2^2)*NORMSINV(RAND())))</f>
        <v>98.299399811923038</v>
      </c>
      <c r="T8" s="9">
        <f t="shared" ca="1" si="1"/>
        <v>96.662678505495734</v>
      </c>
      <c r="U8" s="9">
        <f t="shared" ca="1" si="1"/>
        <v>97.112216160647222</v>
      </c>
      <c r="V8" s="9">
        <f t="shared" ca="1" si="1"/>
        <v>96.840930312530091</v>
      </c>
      <c r="W8" s="9">
        <f t="shared" ca="1" si="1"/>
        <v>99.587254137185937</v>
      </c>
      <c r="X8" s="9">
        <f t="shared" ca="1" si="1"/>
        <v>96.235371298585349</v>
      </c>
      <c r="Y8" s="9">
        <f t="shared" ca="1" si="1"/>
        <v>98.835963788214002</v>
      </c>
      <c r="Z8" s="9">
        <f t="shared" ca="1" si="1"/>
        <v>98.787844686369041</v>
      </c>
      <c r="AA8" s="9">
        <f t="shared" ca="1" si="1"/>
        <v>97.797328856714358</v>
      </c>
      <c r="AB8" s="9">
        <f t="shared" ca="1" si="1"/>
        <v>97.411668985994481</v>
      </c>
      <c r="AC8" s="9">
        <f t="shared" ca="1" si="1"/>
        <v>95.915378455981084</v>
      </c>
      <c r="AE8">
        <f ca="1">NORMSINV(RAND())</f>
        <v>-0.19841387207544769</v>
      </c>
      <c r="AF8">
        <f t="shared" ref="AF8:AP23" ca="1" si="2">NORMSINV(RAND())</f>
        <v>-1.18654260119171</v>
      </c>
      <c r="AG8">
        <f t="shared" ca="1" si="2"/>
        <v>-0.58022587802487835</v>
      </c>
      <c r="AH8">
        <f t="shared" ca="1" si="2"/>
        <v>1.7836398847536064</v>
      </c>
      <c r="AI8">
        <f t="shared" ca="1" si="2"/>
        <v>-2.3074772023978243</v>
      </c>
      <c r="AJ8">
        <f t="shared" ca="1" si="2"/>
        <v>1.8680589815751421</v>
      </c>
      <c r="AK8">
        <f t="shared" ca="1" si="2"/>
        <v>-0.54020250372963496</v>
      </c>
      <c r="AL8">
        <f t="shared" ca="1" si="2"/>
        <v>0.95124419827421858</v>
      </c>
      <c r="AM8">
        <f t="shared" ca="1" si="2"/>
        <v>-1.1076128807373586</v>
      </c>
      <c r="AN8">
        <f t="shared" ca="1" si="2"/>
        <v>-0.47885905288523678</v>
      </c>
      <c r="AO8">
        <f t="shared" ca="1" si="2"/>
        <v>1.4290202760545507</v>
      </c>
      <c r="AP8">
        <f t="shared" ca="1" si="2"/>
        <v>-1.6282148324082839</v>
      </c>
    </row>
    <row r="9" spans="1:42">
      <c r="A9" t="s">
        <v>331</v>
      </c>
      <c r="B9" s="9">
        <f t="shared" ref="B9:B23" si="3">$B$5</f>
        <v>100</v>
      </c>
      <c r="C9" s="9">
        <f t="shared" ref="C9:N9" ca="1" si="4">B9*EXP($B$4+$B$3*SQRT(1)*AE9)</f>
        <v>99.692438681095936</v>
      </c>
      <c r="D9" s="9">
        <f t="shared" ca="1" si="4"/>
        <v>107.70265455221578</v>
      </c>
      <c r="E9" s="9">
        <f t="shared" ca="1" si="4"/>
        <v>106.30558068851224</v>
      </c>
      <c r="F9" s="9">
        <f t="shared" ca="1" si="4"/>
        <v>103.83529347034312</v>
      </c>
      <c r="G9" s="9">
        <f t="shared" ca="1" si="4"/>
        <v>99.771641306520692</v>
      </c>
      <c r="H9" s="9">
        <f t="shared" ca="1" si="4"/>
        <v>102.17492800696714</v>
      </c>
      <c r="I9" s="9">
        <f t="shared" ca="1" si="4"/>
        <v>107.41803199582614</v>
      </c>
      <c r="J9" s="9">
        <f t="shared" ca="1" si="4"/>
        <v>112.70362734668741</v>
      </c>
      <c r="K9" s="9">
        <f t="shared" ca="1" si="4"/>
        <v>111.85523722335094</v>
      </c>
      <c r="L9" s="9">
        <f t="shared" ca="1" si="4"/>
        <v>110.09908396325341</v>
      </c>
      <c r="M9" s="9">
        <f t="shared" ca="1" si="4"/>
        <v>117.74519078356124</v>
      </c>
      <c r="N9" s="9">
        <f t="shared" ca="1" si="4"/>
        <v>121.23465106221775</v>
      </c>
      <c r="P9" t="s">
        <v>347</v>
      </c>
      <c r="Q9" s="9">
        <f t="shared" ref="Q9:Q23" si="5">$B$5</f>
        <v>100</v>
      </c>
      <c r="R9" s="9">
        <f t="shared" ref="R9:AC9" ca="1" si="6">Q9*EXP($C$4+$C$3*SQRT(1)*((AE9*$D$2)+SQRT(1-$D$2^2)*NORMSINV(RAND())))</f>
        <v>99.490010514182529</v>
      </c>
      <c r="S9" s="9">
        <f t="shared" ca="1" si="6"/>
        <v>99.659737152641014</v>
      </c>
      <c r="T9" s="9">
        <f t="shared" ca="1" si="6"/>
        <v>97.207247778696271</v>
      </c>
      <c r="U9" s="9">
        <f t="shared" ca="1" si="6"/>
        <v>97.685243174563965</v>
      </c>
      <c r="V9" s="9">
        <f t="shared" ca="1" si="6"/>
        <v>96.959853895222281</v>
      </c>
      <c r="W9" s="9">
        <f t="shared" ca="1" si="6"/>
        <v>98.703725014726388</v>
      </c>
      <c r="X9" s="9">
        <f t="shared" ca="1" si="6"/>
        <v>100.48676467065174</v>
      </c>
      <c r="Y9" s="9">
        <f t="shared" ca="1" si="6"/>
        <v>100.98968357005056</v>
      </c>
      <c r="Z9" s="9">
        <f t="shared" ca="1" si="6"/>
        <v>100.27576391240198</v>
      </c>
      <c r="AA9" s="9">
        <f t="shared" ca="1" si="6"/>
        <v>99.257179646796828</v>
      </c>
      <c r="AB9" s="9">
        <f t="shared" ca="1" si="6"/>
        <v>100.12585832695068</v>
      </c>
      <c r="AC9" s="9">
        <f t="shared" ca="1" si="6"/>
        <v>100.08837020323327</v>
      </c>
      <c r="AE9">
        <f t="shared" ref="AE9:AE23" ca="1" si="7">NORMSINV(RAND())</f>
        <v>-0.10434508691749803</v>
      </c>
      <c r="AF9">
        <f t="shared" ca="1" si="2"/>
        <v>2.5744799376971228</v>
      </c>
      <c r="AG9">
        <f t="shared" ca="1" si="2"/>
        <v>-0.43688160400201448</v>
      </c>
      <c r="AH9">
        <f t="shared" ca="1" si="2"/>
        <v>-0.78539520953975872</v>
      </c>
      <c r="AI9">
        <f t="shared" ca="1" si="2"/>
        <v>-1.3323979804281199</v>
      </c>
      <c r="AJ9">
        <f t="shared" ca="1" si="2"/>
        <v>0.79174457175143376</v>
      </c>
      <c r="AK9">
        <f t="shared" ca="1" si="2"/>
        <v>1.6663912938339691</v>
      </c>
      <c r="AL9">
        <f t="shared" ca="1" si="2"/>
        <v>1.5994514243395463</v>
      </c>
      <c r="AM9">
        <f t="shared" ca="1" si="2"/>
        <v>-0.25353653057287606</v>
      </c>
      <c r="AN9">
        <f t="shared" ca="1" si="2"/>
        <v>-0.529159560734487</v>
      </c>
      <c r="AO9">
        <f t="shared" ca="1" si="2"/>
        <v>2.2364055269694072</v>
      </c>
      <c r="AP9">
        <f t="shared" ca="1" si="2"/>
        <v>0.97183477223092263</v>
      </c>
    </row>
    <row r="10" spans="1:42">
      <c r="A10" t="s">
        <v>332</v>
      </c>
      <c r="B10" s="9">
        <f t="shared" si="3"/>
        <v>100</v>
      </c>
      <c r="C10" s="9">
        <f t="shared" ref="C10:N10" ca="1" si="8">B10*EXP($B$4+$B$3*SQRT(1)*AE10)</f>
        <v>97.527485889663865</v>
      </c>
      <c r="D10" s="9">
        <f t="shared" ca="1" si="8"/>
        <v>101.00605139341981</v>
      </c>
      <c r="E10" s="9">
        <f t="shared" ca="1" si="8"/>
        <v>101.15172841800728</v>
      </c>
      <c r="F10" s="9">
        <f t="shared" ca="1" si="8"/>
        <v>99.368109793018775</v>
      </c>
      <c r="G10" s="9">
        <f t="shared" ca="1" si="8"/>
        <v>104.09812034131072</v>
      </c>
      <c r="H10" s="9">
        <f t="shared" ca="1" si="8"/>
        <v>99.867635761002191</v>
      </c>
      <c r="I10" s="9">
        <f t="shared" ca="1" si="8"/>
        <v>105.42193108642225</v>
      </c>
      <c r="J10" s="9">
        <f t="shared" ca="1" si="8"/>
        <v>102.44335481764035</v>
      </c>
      <c r="K10" s="9">
        <f t="shared" ca="1" si="8"/>
        <v>103.77647164474311</v>
      </c>
      <c r="L10" s="9">
        <f t="shared" ca="1" si="8"/>
        <v>102.98681349392926</v>
      </c>
      <c r="M10" s="9">
        <f t="shared" ca="1" si="8"/>
        <v>102.93740782337287</v>
      </c>
      <c r="N10" s="9">
        <f t="shared" ca="1" si="8"/>
        <v>106.82653225763551</v>
      </c>
      <c r="P10" t="s">
        <v>348</v>
      </c>
      <c r="Q10" s="9">
        <f t="shared" si="5"/>
        <v>100</v>
      </c>
      <c r="R10" s="9">
        <f t="shared" ref="R10:AC10" ca="1" si="9">Q10*EXP($C$4+$C$3*SQRT(1)*((AE10*$D$2)+SQRT(1-$D$2^2)*NORMSINV(RAND())))</f>
        <v>100.20675952697337</v>
      </c>
      <c r="S10" s="9">
        <f t="shared" ca="1" si="9"/>
        <v>100.98455953971347</v>
      </c>
      <c r="T10" s="9">
        <f t="shared" ca="1" si="9"/>
        <v>100.64937880207127</v>
      </c>
      <c r="U10" s="9">
        <f t="shared" ca="1" si="9"/>
        <v>101.40642798467071</v>
      </c>
      <c r="V10" s="9">
        <f t="shared" ca="1" si="9"/>
        <v>102.90665962911672</v>
      </c>
      <c r="W10" s="9">
        <f t="shared" ca="1" si="9"/>
        <v>103.41698008810108</v>
      </c>
      <c r="X10" s="9">
        <f t="shared" ca="1" si="9"/>
        <v>107.08180765829027</v>
      </c>
      <c r="Y10" s="9">
        <f t="shared" ca="1" si="9"/>
        <v>108.26441833740186</v>
      </c>
      <c r="Z10" s="9">
        <f t="shared" ca="1" si="9"/>
        <v>108.34209677327402</v>
      </c>
      <c r="AA10" s="9">
        <f t="shared" ca="1" si="9"/>
        <v>107.05916433261174</v>
      </c>
      <c r="AB10" s="9">
        <f t="shared" ca="1" si="9"/>
        <v>107.4527926581723</v>
      </c>
      <c r="AC10" s="9">
        <f t="shared" ca="1" si="9"/>
        <v>108.99772047823971</v>
      </c>
      <c r="AE10">
        <f t="shared" ca="1" si="7"/>
        <v>-0.83619803839410212</v>
      </c>
      <c r="AF10">
        <f t="shared" ca="1" si="2"/>
        <v>1.1665394998835574</v>
      </c>
      <c r="AG10">
        <f t="shared" ca="1" si="2"/>
        <v>4.6374043561111022E-2</v>
      </c>
      <c r="AH10">
        <f t="shared" ca="1" si="2"/>
        <v>-0.59468053283622502</v>
      </c>
      <c r="AI10">
        <f t="shared" ca="1" si="2"/>
        <v>1.5484228007982992</v>
      </c>
      <c r="AJ10">
        <f t="shared" ca="1" si="2"/>
        <v>-1.3846084122911315</v>
      </c>
      <c r="AK10">
        <f t="shared" ca="1" si="2"/>
        <v>1.8025007492233991</v>
      </c>
      <c r="AL10">
        <f t="shared" ca="1" si="2"/>
        <v>-0.95702264643171997</v>
      </c>
      <c r="AM10">
        <f t="shared" ca="1" si="2"/>
        <v>0.42930883518578955</v>
      </c>
      <c r="AN10">
        <f t="shared" ca="1" si="2"/>
        <v>-0.25627730820076999</v>
      </c>
      <c r="AO10">
        <f t="shared" ca="1" si="2"/>
        <v>-1.7661440921749164E-2</v>
      </c>
      <c r="AP10">
        <f t="shared" ca="1" si="2"/>
        <v>1.2345070858616864</v>
      </c>
    </row>
    <row r="11" spans="1:42">
      <c r="A11" t="s">
        <v>333</v>
      </c>
      <c r="B11" s="9">
        <f t="shared" si="3"/>
        <v>100</v>
      </c>
      <c r="C11" s="9">
        <f t="shared" ref="C11:N11" ca="1" si="10">B11*EXP($B$4+$B$3*SQRT(1)*AE11)</f>
        <v>99.073596655390332</v>
      </c>
      <c r="D11" s="9">
        <f t="shared" ca="1" si="10"/>
        <v>95.275203681422681</v>
      </c>
      <c r="E11" s="9">
        <f t="shared" ca="1" si="10"/>
        <v>97.001621649462805</v>
      </c>
      <c r="F11" s="9">
        <f t="shared" ca="1" si="10"/>
        <v>95.691939689883725</v>
      </c>
      <c r="G11" s="9">
        <f t="shared" ca="1" si="10"/>
        <v>95.806832265267957</v>
      </c>
      <c r="H11" s="9">
        <f t="shared" ca="1" si="10"/>
        <v>97.519144185916005</v>
      </c>
      <c r="I11" s="9">
        <f t="shared" ca="1" si="10"/>
        <v>100.45661727898971</v>
      </c>
      <c r="J11" s="9">
        <f t="shared" ca="1" si="10"/>
        <v>98.545196131931647</v>
      </c>
      <c r="K11" s="9">
        <f t="shared" ca="1" si="10"/>
        <v>96.430876716523684</v>
      </c>
      <c r="L11" s="9">
        <f t="shared" ca="1" si="10"/>
        <v>98.930603162538461</v>
      </c>
      <c r="M11" s="9">
        <f t="shared" ca="1" si="10"/>
        <v>98.219116699188774</v>
      </c>
      <c r="N11" s="9">
        <f t="shared" ca="1" si="10"/>
        <v>93.674269055298126</v>
      </c>
      <c r="P11" t="s">
        <v>349</v>
      </c>
      <c r="Q11" s="9">
        <f t="shared" si="5"/>
        <v>100</v>
      </c>
      <c r="R11" s="9">
        <f t="shared" ref="R11:AC11" ca="1" si="11">Q11*EXP($C$4+$C$3*SQRT(1)*((AE11*$D$2)+SQRT(1-$D$2^2)*NORMSINV(RAND())))</f>
        <v>102.1288745058372</v>
      </c>
      <c r="S11" s="9">
        <f t="shared" ca="1" si="11"/>
        <v>102.08412736812593</v>
      </c>
      <c r="T11" s="9">
        <f t="shared" ca="1" si="11"/>
        <v>101.00231400303471</v>
      </c>
      <c r="U11" s="9">
        <f t="shared" ca="1" si="11"/>
        <v>101.42970311039528</v>
      </c>
      <c r="V11" s="9">
        <f t="shared" ca="1" si="11"/>
        <v>100.81679418734154</v>
      </c>
      <c r="W11" s="9">
        <f t="shared" ca="1" si="11"/>
        <v>100.51150761445456</v>
      </c>
      <c r="X11" s="9">
        <f t="shared" ca="1" si="11"/>
        <v>101.05637472018154</v>
      </c>
      <c r="Y11" s="9">
        <f t="shared" ca="1" si="11"/>
        <v>100.47417958540728</v>
      </c>
      <c r="Z11" s="9">
        <f t="shared" ca="1" si="11"/>
        <v>99.019795039458117</v>
      </c>
      <c r="AA11" s="9">
        <f t="shared" ca="1" si="11"/>
        <v>99.037903599175863</v>
      </c>
      <c r="AB11" s="9">
        <f t="shared" ca="1" si="11"/>
        <v>100.68286389043513</v>
      </c>
      <c r="AC11" s="9">
        <f t="shared" ca="1" si="11"/>
        <v>100.8179605096997</v>
      </c>
      <c r="AE11">
        <f t="shared" ca="1" si="7"/>
        <v>-0.31190704931099666</v>
      </c>
      <c r="AF11">
        <f t="shared" ca="1" si="2"/>
        <v>-1.3047796641530769</v>
      </c>
      <c r="AG11">
        <f t="shared" ca="1" si="2"/>
        <v>0.5969370605055988</v>
      </c>
      <c r="AH11">
        <f t="shared" ca="1" si="2"/>
        <v>-0.45478754178794911</v>
      </c>
      <c r="AI11">
        <f t="shared" ca="1" si="2"/>
        <v>3.8331009905605562E-2</v>
      </c>
      <c r="AJ11">
        <f t="shared" ca="1" si="2"/>
        <v>0.58882363038178176</v>
      </c>
      <c r="AK11">
        <f t="shared" ca="1" si="2"/>
        <v>0.98757520277368815</v>
      </c>
      <c r="AL11">
        <f t="shared" ca="1" si="2"/>
        <v>-0.6420226172398098</v>
      </c>
      <c r="AM11">
        <f t="shared" ca="1" si="2"/>
        <v>-0.72462795663350166</v>
      </c>
      <c r="AN11">
        <f t="shared" ca="1" si="2"/>
        <v>0.85140593190066394</v>
      </c>
      <c r="AO11">
        <f t="shared" ca="1" si="2"/>
        <v>-0.24225862309055041</v>
      </c>
      <c r="AP11">
        <f t="shared" ca="1" si="2"/>
        <v>-1.5809108607400844</v>
      </c>
    </row>
    <row r="12" spans="1:42">
      <c r="A12" t="s">
        <v>334</v>
      </c>
      <c r="B12" s="9">
        <f t="shared" si="3"/>
        <v>100</v>
      </c>
      <c r="C12" s="9">
        <f t="shared" ref="C12:N12" ca="1" si="12">B12*EXP($B$4+$B$3*SQRT(1)*AE12)</f>
        <v>98.469676458866758</v>
      </c>
      <c r="D12" s="9">
        <f t="shared" ca="1" si="12"/>
        <v>93.391703092119272</v>
      </c>
      <c r="E12" s="9">
        <f t="shared" ca="1" si="12"/>
        <v>97.441132508079633</v>
      </c>
      <c r="F12" s="9">
        <f t="shared" ca="1" si="12"/>
        <v>95.924186581280949</v>
      </c>
      <c r="G12" s="9">
        <f t="shared" ca="1" si="12"/>
        <v>91.360600144299497</v>
      </c>
      <c r="H12" s="9">
        <f t="shared" ca="1" si="12"/>
        <v>93.316512948583821</v>
      </c>
      <c r="I12" s="9">
        <f t="shared" ca="1" si="12"/>
        <v>93.658232106821444</v>
      </c>
      <c r="J12" s="9">
        <f t="shared" ca="1" si="12"/>
        <v>92.121180416133541</v>
      </c>
      <c r="K12" s="9">
        <f t="shared" ca="1" si="12"/>
        <v>92.423732987797464</v>
      </c>
      <c r="L12" s="9">
        <f t="shared" ca="1" si="12"/>
        <v>97.943099129193826</v>
      </c>
      <c r="M12" s="9">
        <f t="shared" ca="1" si="12"/>
        <v>94.531662652697364</v>
      </c>
      <c r="N12" s="9">
        <f t="shared" ca="1" si="12"/>
        <v>96.369885052359322</v>
      </c>
      <c r="P12" t="s">
        <v>350</v>
      </c>
      <c r="Q12" s="9">
        <f t="shared" si="5"/>
        <v>100</v>
      </c>
      <c r="R12" s="9">
        <f t="shared" ref="R12:AC12" ca="1" si="13">Q12*EXP($C$4+$C$3*SQRT(1)*((AE12*$D$2)+SQRT(1-$D$2^2)*NORMSINV(RAND())))</f>
        <v>101.73101713297841</v>
      </c>
      <c r="S12" s="9">
        <f t="shared" ca="1" si="13"/>
        <v>97.169710038913507</v>
      </c>
      <c r="T12" s="9">
        <f t="shared" ca="1" si="13"/>
        <v>96.446281496326634</v>
      </c>
      <c r="U12" s="9">
        <f t="shared" ca="1" si="13"/>
        <v>99.430643519866194</v>
      </c>
      <c r="V12" s="9">
        <f t="shared" ca="1" si="13"/>
        <v>98.193297937220422</v>
      </c>
      <c r="W12" s="9">
        <f t="shared" ca="1" si="13"/>
        <v>99.301836561399014</v>
      </c>
      <c r="X12" s="9">
        <f t="shared" ca="1" si="13"/>
        <v>101.32234346183483</v>
      </c>
      <c r="Y12" s="9">
        <f t="shared" ca="1" si="13"/>
        <v>101.33060838087522</v>
      </c>
      <c r="Z12" s="9">
        <f t="shared" ca="1" si="13"/>
        <v>98.315727877349289</v>
      </c>
      <c r="AA12" s="9">
        <f t="shared" ca="1" si="13"/>
        <v>97.727196888303368</v>
      </c>
      <c r="AB12" s="9">
        <f t="shared" ca="1" si="13"/>
        <v>96.769590010126905</v>
      </c>
      <c r="AC12" s="9">
        <f t="shared" ca="1" si="13"/>
        <v>97.423748170885403</v>
      </c>
      <c r="AE12">
        <f t="shared" ca="1" si="7"/>
        <v>-0.51571794720165776</v>
      </c>
      <c r="AF12">
        <f t="shared" ca="1" si="2"/>
        <v>-1.7665379424399132</v>
      </c>
      <c r="AG12">
        <f t="shared" ca="1" si="2"/>
        <v>1.4131972405021771</v>
      </c>
      <c r="AH12">
        <f t="shared" ca="1" si="2"/>
        <v>-0.52467567177658481</v>
      </c>
      <c r="AI12">
        <f t="shared" ca="1" si="2"/>
        <v>-1.6264613823152758</v>
      </c>
      <c r="AJ12">
        <f t="shared" ca="1" si="2"/>
        <v>0.70442549868889848</v>
      </c>
      <c r="AK12">
        <f t="shared" ca="1" si="2"/>
        <v>0.12017493591892392</v>
      </c>
      <c r="AL12">
        <f t="shared" ca="1" si="2"/>
        <v>-0.55324797208773635</v>
      </c>
      <c r="AM12">
        <f t="shared" ca="1" si="2"/>
        <v>0.10763024725745238</v>
      </c>
      <c r="AN12">
        <f t="shared" ca="1" si="2"/>
        <v>1.931763090989759</v>
      </c>
      <c r="AO12">
        <f t="shared" ca="1" si="2"/>
        <v>-1.1833952002270318</v>
      </c>
      <c r="AP12">
        <f t="shared" ca="1" si="2"/>
        <v>0.64029747270051862</v>
      </c>
    </row>
    <row r="13" spans="1:42">
      <c r="A13" t="s">
        <v>335</v>
      </c>
      <c r="B13" s="9">
        <f t="shared" si="3"/>
        <v>100</v>
      </c>
      <c r="C13" s="9">
        <f t="shared" ref="C13:N13" ca="1" si="14">B13*EXP($B$4+$B$3*SQRT(1)*AE13)</f>
        <v>101.59240366811744</v>
      </c>
      <c r="D13" s="9">
        <f t="shared" ca="1" si="14"/>
        <v>105.80939527749544</v>
      </c>
      <c r="E13" s="9">
        <f t="shared" ca="1" si="14"/>
        <v>102.61646903943446</v>
      </c>
      <c r="F13" s="9">
        <f t="shared" ca="1" si="14"/>
        <v>101.2898610068173</v>
      </c>
      <c r="G13" s="9">
        <f t="shared" ca="1" si="14"/>
        <v>104.02288933413853</v>
      </c>
      <c r="H13" s="9">
        <f t="shared" ca="1" si="14"/>
        <v>103.99980498108459</v>
      </c>
      <c r="I13" s="9">
        <f t="shared" ca="1" si="14"/>
        <v>105.4053746550279</v>
      </c>
      <c r="J13" s="9">
        <f t="shared" ca="1" si="14"/>
        <v>102.47946452688367</v>
      </c>
      <c r="K13" s="9">
        <f t="shared" ca="1" si="14"/>
        <v>104.55816196141063</v>
      </c>
      <c r="L13" s="9">
        <f t="shared" ca="1" si="14"/>
        <v>100.68165385184122</v>
      </c>
      <c r="M13" s="9">
        <f t="shared" ca="1" si="14"/>
        <v>104.77371937782235</v>
      </c>
      <c r="N13" s="9">
        <f t="shared" ca="1" si="14"/>
        <v>102.78218998209968</v>
      </c>
      <c r="P13" t="s">
        <v>351</v>
      </c>
      <c r="Q13" s="9">
        <f t="shared" si="5"/>
        <v>100</v>
      </c>
      <c r="R13" s="9">
        <f t="shared" ref="R13:AC13" ca="1" si="15">Q13*EXP($C$4+$C$3*SQRT(1)*((AE13*$D$2)+SQRT(1-$D$2^2)*NORMSINV(RAND())))</f>
        <v>99.297607406642612</v>
      </c>
      <c r="S13" s="9">
        <f t="shared" ca="1" si="15"/>
        <v>99.352672517070104</v>
      </c>
      <c r="T13" s="9">
        <f t="shared" ca="1" si="15"/>
        <v>96.516395260451617</v>
      </c>
      <c r="U13" s="9">
        <f t="shared" ca="1" si="15"/>
        <v>95.830473087739534</v>
      </c>
      <c r="V13" s="9">
        <f t="shared" ca="1" si="15"/>
        <v>93.757982789977447</v>
      </c>
      <c r="W13" s="9">
        <f t="shared" ca="1" si="15"/>
        <v>94.691398892207303</v>
      </c>
      <c r="X13" s="9">
        <f t="shared" ca="1" si="15"/>
        <v>93.9137435269881</v>
      </c>
      <c r="Y13" s="9">
        <f t="shared" ca="1" si="15"/>
        <v>93.322006555987414</v>
      </c>
      <c r="Z13" s="9">
        <f t="shared" ca="1" si="15"/>
        <v>93.386123300433752</v>
      </c>
      <c r="AA13" s="9">
        <f t="shared" ca="1" si="15"/>
        <v>92.610910060087392</v>
      </c>
      <c r="AB13" s="9">
        <f t="shared" ca="1" si="15"/>
        <v>93.684577220651221</v>
      </c>
      <c r="AC13" s="9">
        <f t="shared" ca="1" si="15"/>
        <v>94.716472791537853</v>
      </c>
      <c r="AE13">
        <f t="shared" ca="1" si="7"/>
        <v>0.52495264383356965</v>
      </c>
      <c r="AF13">
        <f t="shared" ca="1" si="2"/>
        <v>1.3540184141057674</v>
      </c>
      <c r="AG13">
        <f t="shared" ca="1" si="2"/>
        <v>-1.0230293639172596</v>
      </c>
      <c r="AH13">
        <f t="shared" ca="1" si="2"/>
        <v>-0.43540397803495456</v>
      </c>
      <c r="AI13">
        <f t="shared" ca="1" si="2"/>
        <v>0.88582157362677894</v>
      </c>
      <c r="AJ13">
        <f t="shared" ca="1" si="2"/>
        <v>-9.0646906257606415E-3</v>
      </c>
      <c r="AK13">
        <f t="shared" ca="1" si="2"/>
        <v>0.44582012604614585</v>
      </c>
      <c r="AL13">
        <f t="shared" ca="1" si="2"/>
        <v>-0.94003984372658667</v>
      </c>
      <c r="AM13">
        <f t="shared" ca="1" si="2"/>
        <v>0.66770193137331213</v>
      </c>
      <c r="AN13">
        <f t="shared" ca="1" si="2"/>
        <v>-1.2609964473420838</v>
      </c>
      <c r="AO13">
        <f t="shared" ca="1" si="2"/>
        <v>1.3263124731738891</v>
      </c>
      <c r="AP13">
        <f t="shared" ca="1" si="2"/>
        <v>-0.64136274443843022</v>
      </c>
    </row>
    <row r="14" spans="1:42">
      <c r="A14" t="s">
        <v>336</v>
      </c>
      <c r="B14" s="9">
        <f t="shared" si="3"/>
        <v>100</v>
      </c>
      <c r="C14" s="9">
        <f t="shared" ref="C14:N14" ca="1" si="16">B14*EXP($B$4+$B$3*SQRT(1)*AE14)</f>
        <v>95.271837399335425</v>
      </c>
      <c r="D14" s="9">
        <f t="shared" ca="1" si="16"/>
        <v>93.791184204096439</v>
      </c>
      <c r="E14" s="9">
        <f t="shared" ca="1" si="16"/>
        <v>95.870413801628615</v>
      </c>
      <c r="F14" s="9">
        <f t="shared" ca="1" si="16"/>
        <v>97.573764170017668</v>
      </c>
      <c r="G14" s="9">
        <f t="shared" ca="1" si="16"/>
        <v>96.417195689653255</v>
      </c>
      <c r="H14" s="9">
        <f t="shared" ca="1" si="16"/>
        <v>94.245459228481735</v>
      </c>
      <c r="I14" s="9">
        <f t="shared" ca="1" si="16"/>
        <v>95.917419913030997</v>
      </c>
      <c r="J14" s="9">
        <f t="shared" ca="1" si="16"/>
        <v>93.392110086043758</v>
      </c>
      <c r="K14" s="9">
        <f t="shared" ca="1" si="16"/>
        <v>92.720137097801739</v>
      </c>
      <c r="L14" s="9">
        <f t="shared" ca="1" si="16"/>
        <v>95.831804581551992</v>
      </c>
      <c r="M14" s="9">
        <f t="shared" ca="1" si="16"/>
        <v>96.486962012993544</v>
      </c>
      <c r="N14" s="9">
        <f t="shared" ca="1" si="16"/>
        <v>97.280241827911496</v>
      </c>
      <c r="P14" t="s">
        <v>352</v>
      </c>
      <c r="Q14" s="9">
        <f t="shared" si="5"/>
        <v>100</v>
      </c>
      <c r="R14" s="9">
        <f t="shared" ref="R14:AC14" ca="1" si="17">Q14*EXP($C$4+$C$3*SQRT(1)*((AE14*$D$2)+SQRT(1-$D$2^2)*NORMSINV(RAND())))</f>
        <v>96.194223050301048</v>
      </c>
      <c r="S14" s="9">
        <f t="shared" ca="1" si="17"/>
        <v>95.075378644350849</v>
      </c>
      <c r="T14" s="9">
        <f t="shared" ca="1" si="17"/>
        <v>98.288214250633487</v>
      </c>
      <c r="U14" s="9">
        <f t="shared" ca="1" si="17"/>
        <v>97.903626157071216</v>
      </c>
      <c r="V14" s="9">
        <f t="shared" ca="1" si="17"/>
        <v>96.283833939534176</v>
      </c>
      <c r="W14" s="9">
        <f t="shared" ca="1" si="17"/>
        <v>93.152562411418643</v>
      </c>
      <c r="X14" s="9">
        <f t="shared" ca="1" si="17"/>
        <v>91.036162638107029</v>
      </c>
      <c r="Y14" s="9">
        <f t="shared" ca="1" si="17"/>
        <v>89.764583880766082</v>
      </c>
      <c r="Z14" s="9">
        <f t="shared" ca="1" si="17"/>
        <v>87.807409785309673</v>
      </c>
      <c r="AA14" s="9">
        <f t="shared" ca="1" si="17"/>
        <v>90.042582344975557</v>
      </c>
      <c r="AB14" s="9">
        <f t="shared" ca="1" si="17"/>
        <v>91.713635548093038</v>
      </c>
      <c r="AC14" s="9">
        <f t="shared" ca="1" si="17"/>
        <v>89.885309122433839</v>
      </c>
      <c r="AE14">
        <f t="shared" ca="1" si="7"/>
        <v>-1.61619780744154</v>
      </c>
      <c r="AF14">
        <f t="shared" ca="1" si="2"/>
        <v>-0.52377950668302575</v>
      </c>
      <c r="AG14">
        <f t="shared" ca="1" si="2"/>
        <v>0.72921855979425643</v>
      </c>
      <c r="AH14">
        <f t="shared" ca="1" si="2"/>
        <v>0.58537413972089669</v>
      </c>
      <c r="AI14">
        <f t="shared" ca="1" si="2"/>
        <v>-0.39913611058306953</v>
      </c>
      <c r="AJ14">
        <f t="shared" ca="1" si="2"/>
        <v>-0.76106390039782057</v>
      </c>
      <c r="AK14">
        <f t="shared" ca="1" si="2"/>
        <v>0.58449882719718538</v>
      </c>
      <c r="AL14">
        <f t="shared" ca="1" si="2"/>
        <v>-0.89102482743870914</v>
      </c>
      <c r="AM14">
        <f t="shared" ca="1" si="2"/>
        <v>-0.24237298536859769</v>
      </c>
      <c r="AN14">
        <f t="shared" ca="1" si="2"/>
        <v>1.0986313865826132</v>
      </c>
      <c r="AO14">
        <f t="shared" ca="1" si="2"/>
        <v>0.22544237645808035</v>
      </c>
      <c r="AP14">
        <f t="shared" ca="1" si="2"/>
        <v>0.27126711889798882</v>
      </c>
    </row>
    <row r="15" spans="1:42">
      <c r="A15" t="s">
        <v>337</v>
      </c>
      <c r="B15" s="9">
        <f t="shared" si="3"/>
        <v>100</v>
      </c>
      <c r="C15" s="9">
        <f t="shared" ref="C15:N15" ca="1" si="18">B15*EXP($B$4+$B$3*SQRT(1)*AE15)</f>
        <v>98.777449179223254</v>
      </c>
      <c r="D15" s="9">
        <f t="shared" ca="1" si="18"/>
        <v>100.96175911209697</v>
      </c>
      <c r="E15" s="9">
        <f t="shared" ca="1" si="18"/>
        <v>105.04535456599993</v>
      </c>
      <c r="F15" s="9">
        <f t="shared" ca="1" si="18"/>
        <v>101.55302028136447</v>
      </c>
      <c r="G15" s="9">
        <f t="shared" ca="1" si="18"/>
        <v>101.56154252421423</v>
      </c>
      <c r="H15" s="9">
        <f t="shared" ca="1" si="18"/>
        <v>99.541462772550474</v>
      </c>
      <c r="I15" s="9">
        <f t="shared" ca="1" si="18"/>
        <v>96.126048581431661</v>
      </c>
      <c r="J15" s="9">
        <f t="shared" ca="1" si="18"/>
        <v>101.71241948009245</v>
      </c>
      <c r="K15" s="9">
        <f t="shared" ca="1" si="18"/>
        <v>107.11760226170537</v>
      </c>
      <c r="L15" s="9">
        <f t="shared" ca="1" si="18"/>
        <v>111.25844253890079</v>
      </c>
      <c r="M15" s="9">
        <f t="shared" ca="1" si="18"/>
        <v>114.88654983732944</v>
      </c>
      <c r="N15" s="9">
        <f t="shared" ca="1" si="18"/>
        <v>110.17494350841045</v>
      </c>
      <c r="P15" t="s">
        <v>353</v>
      </c>
      <c r="Q15" s="9">
        <f t="shared" si="5"/>
        <v>100</v>
      </c>
      <c r="R15" s="9">
        <f t="shared" ref="R15:AC15" ca="1" si="19">Q15*EXP($C$4+$C$3*SQRT(1)*((AE15*$D$2)+SQRT(1-$D$2^2)*NORMSINV(RAND())))</f>
        <v>99.595980094202901</v>
      </c>
      <c r="S15" s="9">
        <f t="shared" ca="1" si="19"/>
        <v>100.62543338959513</v>
      </c>
      <c r="T15" s="9">
        <f t="shared" ca="1" si="19"/>
        <v>100.66569204136333</v>
      </c>
      <c r="U15" s="9">
        <f t="shared" ca="1" si="19"/>
        <v>98.528034991228111</v>
      </c>
      <c r="V15" s="9">
        <f t="shared" ca="1" si="19"/>
        <v>100.26229497495653</v>
      </c>
      <c r="W15" s="9">
        <f t="shared" ca="1" si="19"/>
        <v>96.834107150342078</v>
      </c>
      <c r="X15" s="9">
        <f t="shared" ca="1" si="19"/>
        <v>95.049917687539832</v>
      </c>
      <c r="Y15" s="9">
        <f t="shared" ca="1" si="19"/>
        <v>92.225659774149037</v>
      </c>
      <c r="Z15" s="9">
        <f t="shared" ca="1" si="19"/>
        <v>95.253634223500654</v>
      </c>
      <c r="AA15" s="9">
        <f t="shared" ca="1" si="19"/>
        <v>97.671065172574984</v>
      </c>
      <c r="AB15" s="9">
        <f t="shared" ca="1" si="19"/>
        <v>97.171938126167987</v>
      </c>
      <c r="AC15" s="9">
        <f t="shared" ca="1" si="19"/>
        <v>95.61092589780155</v>
      </c>
      <c r="AE15">
        <f t="shared" ca="1" si="7"/>
        <v>-0.41169514868244839</v>
      </c>
      <c r="AF15">
        <f t="shared" ca="1" si="2"/>
        <v>0.72741636551607636</v>
      </c>
      <c r="AG15">
        <f t="shared" ca="1" si="2"/>
        <v>1.3200127549750929</v>
      </c>
      <c r="AH15">
        <f t="shared" ca="1" si="2"/>
        <v>-1.128705858091132</v>
      </c>
      <c r="AI15">
        <f t="shared" ca="1" si="2"/>
        <v>1.1305208702789959E-3</v>
      </c>
      <c r="AJ15">
        <f t="shared" ca="1" si="2"/>
        <v>-0.67135587930997676</v>
      </c>
      <c r="AK15">
        <f t="shared" ca="1" si="2"/>
        <v>-1.1654644120224127</v>
      </c>
      <c r="AL15">
        <f t="shared" ca="1" si="2"/>
        <v>1.8813026031501252</v>
      </c>
      <c r="AM15">
        <f t="shared" ca="1" si="2"/>
        <v>1.7242634362069178</v>
      </c>
      <c r="AN15">
        <f t="shared" ca="1" si="2"/>
        <v>1.2626162896884732</v>
      </c>
      <c r="AO15">
        <f t="shared" ca="1" si="2"/>
        <v>1.0679770706077059</v>
      </c>
      <c r="AP15">
        <f t="shared" ca="1" si="2"/>
        <v>-1.3975206763869585</v>
      </c>
    </row>
    <row r="16" spans="1:42">
      <c r="A16" t="s">
        <v>338</v>
      </c>
      <c r="B16" s="9">
        <f t="shared" si="3"/>
        <v>100</v>
      </c>
      <c r="C16" s="9">
        <f t="shared" ref="C16:N16" ca="1" si="20">B16*EXP($B$4+$B$3*SQRT(1)*AE16)</f>
        <v>99.1519279788467</v>
      </c>
      <c r="D16" s="9">
        <f t="shared" ca="1" si="20"/>
        <v>96.563089578112454</v>
      </c>
      <c r="E16" s="9">
        <f t="shared" ca="1" si="20"/>
        <v>99.885515703013752</v>
      </c>
      <c r="F16" s="9">
        <f t="shared" ca="1" si="20"/>
        <v>98.409951302278031</v>
      </c>
      <c r="G16" s="9">
        <f t="shared" ca="1" si="20"/>
        <v>100.22774459121034</v>
      </c>
      <c r="H16" s="9">
        <f t="shared" ca="1" si="20"/>
        <v>97.409617334985811</v>
      </c>
      <c r="I16" s="9">
        <f t="shared" ca="1" si="20"/>
        <v>94.012146793854583</v>
      </c>
      <c r="J16" s="9">
        <f t="shared" ca="1" si="20"/>
        <v>93.107671451749695</v>
      </c>
      <c r="K16" s="9">
        <f t="shared" ca="1" si="20"/>
        <v>92.56525613046017</v>
      </c>
      <c r="L16" s="9">
        <f t="shared" ca="1" si="20"/>
        <v>94.287908126583488</v>
      </c>
      <c r="M16" s="9">
        <f t="shared" ca="1" si="20"/>
        <v>89.569182590272135</v>
      </c>
      <c r="N16" s="9">
        <f t="shared" ca="1" si="20"/>
        <v>86.543330053481853</v>
      </c>
      <c r="P16" t="s">
        <v>354</v>
      </c>
      <c r="Q16" s="9">
        <f t="shared" si="5"/>
        <v>100</v>
      </c>
      <c r="R16" s="9">
        <f t="shared" ref="R16:AC16" ca="1" si="21">Q16*EXP($C$4+$C$3*SQRT(1)*((AE16*$D$2)+SQRT(1-$D$2^2)*NORMSINV(RAND())))</f>
        <v>100.29853986976653</v>
      </c>
      <c r="S16" s="9">
        <f t="shared" ca="1" si="21"/>
        <v>100.65254812458015</v>
      </c>
      <c r="T16" s="9">
        <f t="shared" ca="1" si="21"/>
        <v>100.9320642541545</v>
      </c>
      <c r="U16" s="9">
        <f t="shared" ca="1" si="21"/>
        <v>100.3007812232271</v>
      </c>
      <c r="V16" s="9">
        <f t="shared" ca="1" si="21"/>
        <v>101.59265139009726</v>
      </c>
      <c r="W16" s="9">
        <f t="shared" ca="1" si="21"/>
        <v>99.685839132790221</v>
      </c>
      <c r="X16" s="9">
        <f t="shared" ca="1" si="21"/>
        <v>98.45808318649479</v>
      </c>
      <c r="Y16" s="9">
        <f t="shared" ca="1" si="21"/>
        <v>97.99932868651571</v>
      </c>
      <c r="Z16" s="9">
        <f t="shared" ca="1" si="21"/>
        <v>98.58897475963542</v>
      </c>
      <c r="AA16" s="9">
        <f t="shared" ca="1" si="21"/>
        <v>99.463128317281061</v>
      </c>
      <c r="AB16" s="9">
        <f t="shared" ca="1" si="21"/>
        <v>101.28069161486624</v>
      </c>
      <c r="AC16" s="9">
        <f t="shared" ca="1" si="21"/>
        <v>101.55004341971164</v>
      </c>
      <c r="AE16">
        <f t="shared" ca="1" si="7"/>
        <v>-0.28556287132546587</v>
      </c>
      <c r="AF16">
        <f t="shared" ca="1" si="2"/>
        <v>-0.88355757038672977</v>
      </c>
      <c r="AG16">
        <f t="shared" ca="1" si="2"/>
        <v>1.125937148273064</v>
      </c>
      <c r="AH16">
        <f t="shared" ca="1" si="2"/>
        <v>-0.49775857064683504</v>
      </c>
      <c r="AI16">
        <f t="shared" ca="1" si="2"/>
        <v>0.60843707951831183</v>
      </c>
      <c r="AJ16">
        <f t="shared" ca="1" si="2"/>
        <v>-0.95233653571670995</v>
      </c>
      <c r="AK16">
        <f t="shared" ca="1" si="2"/>
        <v>-1.1850317082226396</v>
      </c>
      <c r="AL16">
        <f t="shared" ca="1" si="2"/>
        <v>-0.32391380394529368</v>
      </c>
      <c r="AM16">
        <f t="shared" ca="1" si="2"/>
        <v>-0.1964237847888386</v>
      </c>
      <c r="AN16">
        <f t="shared" ca="1" si="2"/>
        <v>0.61296954109411073</v>
      </c>
      <c r="AO16">
        <f t="shared" ca="1" si="2"/>
        <v>-1.713054573006771</v>
      </c>
      <c r="AP16">
        <f t="shared" ca="1" si="2"/>
        <v>-1.1472034174382659</v>
      </c>
    </row>
    <row r="17" spans="1:42">
      <c r="A17" t="s">
        <v>339</v>
      </c>
      <c r="B17" s="9">
        <f t="shared" si="3"/>
        <v>100</v>
      </c>
      <c r="C17" s="9">
        <f t="shared" ref="C17:N17" ca="1" si="22">B17*EXP($B$4+$B$3*SQRT(1)*AE17)</f>
        <v>94.611429318064282</v>
      </c>
      <c r="D17" s="9">
        <f t="shared" ca="1" si="22"/>
        <v>94.765069405849275</v>
      </c>
      <c r="E17" s="9">
        <f t="shared" ca="1" si="22"/>
        <v>94.400360888119266</v>
      </c>
      <c r="F17" s="9">
        <f t="shared" ca="1" si="22"/>
        <v>98.125193616321241</v>
      </c>
      <c r="G17" s="9">
        <f t="shared" ca="1" si="22"/>
        <v>100.05257589003116</v>
      </c>
      <c r="H17" s="9">
        <f t="shared" ca="1" si="22"/>
        <v>103.19255985921713</v>
      </c>
      <c r="I17" s="9">
        <f t="shared" ca="1" si="22"/>
        <v>92.320270803610796</v>
      </c>
      <c r="J17" s="9">
        <f t="shared" ca="1" si="22"/>
        <v>93.613289584279229</v>
      </c>
      <c r="K17" s="9">
        <f t="shared" ca="1" si="22"/>
        <v>93.315038833152556</v>
      </c>
      <c r="L17" s="9">
        <f t="shared" ca="1" si="22"/>
        <v>90.803551726534039</v>
      </c>
      <c r="M17" s="9">
        <f t="shared" ca="1" si="22"/>
        <v>91.502439158694855</v>
      </c>
      <c r="N17" s="9">
        <f t="shared" ca="1" si="22"/>
        <v>88.863326356844766</v>
      </c>
      <c r="P17" t="s">
        <v>355</v>
      </c>
      <c r="Q17" s="9">
        <f t="shared" si="5"/>
        <v>100</v>
      </c>
      <c r="R17" s="9">
        <f t="shared" ref="R17:AC17" ca="1" si="23">Q17*EXP($C$4+$C$3*SQRT(1)*((AE17*$D$2)+SQRT(1-$D$2^2)*NORMSINV(RAND())))</f>
        <v>98.613084221682357</v>
      </c>
      <c r="S17" s="9">
        <f t="shared" ca="1" si="23"/>
        <v>98.701249092565362</v>
      </c>
      <c r="T17" s="9">
        <f t="shared" ca="1" si="23"/>
        <v>98.434127612512683</v>
      </c>
      <c r="U17" s="9">
        <f t="shared" ca="1" si="23"/>
        <v>99.820637334508802</v>
      </c>
      <c r="V17" s="9">
        <f t="shared" ca="1" si="23"/>
        <v>98.879969568330225</v>
      </c>
      <c r="W17" s="9">
        <f t="shared" ca="1" si="23"/>
        <v>100.15078757664691</v>
      </c>
      <c r="X17" s="9">
        <f t="shared" ca="1" si="23"/>
        <v>97.805299155681908</v>
      </c>
      <c r="Y17" s="9">
        <f t="shared" ca="1" si="23"/>
        <v>98.442511661592349</v>
      </c>
      <c r="Z17" s="9">
        <f t="shared" ca="1" si="23"/>
        <v>98.092224475139119</v>
      </c>
      <c r="AA17" s="9">
        <f t="shared" ca="1" si="23"/>
        <v>96.842484099328644</v>
      </c>
      <c r="AB17" s="9">
        <f t="shared" ca="1" si="23"/>
        <v>97.426055343298302</v>
      </c>
      <c r="AC17" s="9">
        <f t="shared" ca="1" si="23"/>
        <v>97.553114366212171</v>
      </c>
      <c r="AE17">
        <f t="shared" ca="1" si="7"/>
        <v>-1.8480633304130962</v>
      </c>
      <c r="AF17">
        <f t="shared" ca="1" si="2"/>
        <v>5.2419636730305336E-2</v>
      </c>
      <c r="AG17">
        <f t="shared" ca="1" si="2"/>
        <v>-0.13019930220317238</v>
      </c>
      <c r="AH17">
        <f t="shared" ca="1" si="2"/>
        <v>1.2883084383024936</v>
      </c>
      <c r="AI17">
        <f t="shared" ca="1" si="2"/>
        <v>0.64672191550098623</v>
      </c>
      <c r="AJ17">
        <f t="shared" ca="1" si="2"/>
        <v>1.0283649778496362</v>
      </c>
      <c r="AK17">
        <f t="shared" ca="1" si="2"/>
        <v>-3.7127673330314659</v>
      </c>
      <c r="AL17">
        <f t="shared" ca="1" si="2"/>
        <v>0.46195400242716966</v>
      </c>
      <c r="AM17">
        <f t="shared" ca="1" si="2"/>
        <v>-0.10803577855785018</v>
      </c>
      <c r="AN17">
        <f t="shared" ca="1" si="2"/>
        <v>-0.91109606710035718</v>
      </c>
      <c r="AO17">
        <f t="shared" ca="1" si="2"/>
        <v>0.25390762083384821</v>
      </c>
      <c r="AP17">
        <f t="shared" ca="1" si="2"/>
        <v>-0.97720329702189912</v>
      </c>
    </row>
    <row r="18" spans="1:42">
      <c r="A18" t="s">
        <v>340</v>
      </c>
      <c r="B18" s="9">
        <f t="shared" si="3"/>
        <v>100</v>
      </c>
      <c r="C18" s="9">
        <f t="shared" ref="C18:N18" ca="1" si="24">B18*EXP($B$4+$B$3*SQRT(1)*AE18)</f>
        <v>100.78776462956122</v>
      </c>
      <c r="D18" s="9">
        <f t="shared" ca="1" si="24"/>
        <v>101.07790665738023</v>
      </c>
      <c r="E18" s="9">
        <f t="shared" ca="1" si="24"/>
        <v>98.057143909810975</v>
      </c>
      <c r="F18" s="9">
        <f t="shared" ca="1" si="24"/>
        <v>97.908185103096883</v>
      </c>
      <c r="G18" s="9">
        <f t="shared" ca="1" si="24"/>
        <v>97.558611457087878</v>
      </c>
      <c r="H18" s="9">
        <f t="shared" ca="1" si="24"/>
        <v>95.682911566327235</v>
      </c>
      <c r="I18" s="9">
        <f t="shared" ca="1" si="24"/>
        <v>91.070279424699294</v>
      </c>
      <c r="J18" s="9">
        <f t="shared" ca="1" si="24"/>
        <v>91.774162819694141</v>
      </c>
      <c r="K18" s="9">
        <f t="shared" ca="1" si="24"/>
        <v>91.842680291875908</v>
      </c>
      <c r="L18" s="9">
        <f t="shared" ca="1" si="24"/>
        <v>88.589632792213166</v>
      </c>
      <c r="M18" s="9">
        <f t="shared" ca="1" si="24"/>
        <v>87.451961038146194</v>
      </c>
      <c r="N18" s="9">
        <f t="shared" ca="1" si="24"/>
        <v>90.483120750206311</v>
      </c>
      <c r="P18" t="s">
        <v>356</v>
      </c>
      <c r="Q18" s="9">
        <f t="shared" si="5"/>
        <v>100</v>
      </c>
      <c r="R18" s="9">
        <f t="shared" ref="R18:AC18" ca="1" si="25">Q18*EXP($C$4+$C$3*SQRT(1)*((AE18*$D$2)+SQRT(1-$D$2^2)*NORMSINV(RAND())))</f>
        <v>98.929799360057672</v>
      </c>
      <c r="S18" s="9">
        <f t="shared" ca="1" si="25"/>
        <v>99.790934834597991</v>
      </c>
      <c r="T18" s="9">
        <f t="shared" ca="1" si="25"/>
        <v>99.494578786487324</v>
      </c>
      <c r="U18" s="9">
        <f t="shared" ca="1" si="25"/>
        <v>96.846579026801791</v>
      </c>
      <c r="V18" s="9">
        <f t="shared" ca="1" si="25"/>
        <v>95.638299994893771</v>
      </c>
      <c r="W18" s="9">
        <f t="shared" ca="1" si="25"/>
        <v>96.480103212383312</v>
      </c>
      <c r="X18" s="9">
        <f t="shared" ca="1" si="25"/>
        <v>95.815904218842874</v>
      </c>
      <c r="Y18" s="9">
        <f t="shared" ca="1" si="25"/>
        <v>96.403607710924561</v>
      </c>
      <c r="Z18" s="9">
        <f t="shared" ca="1" si="25"/>
        <v>95.337165503846535</v>
      </c>
      <c r="AA18" s="9">
        <f t="shared" ca="1" si="25"/>
        <v>93.20332301868217</v>
      </c>
      <c r="AB18" s="9">
        <f t="shared" ca="1" si="25"/>
        <v>92.963940991885778</v>
      </c>
      <c r="AC18" s="9">
        <f t="shared" ca="1" si="25"/>
        <v>94.717821499844192</v>
      </c>
      <c r="AE18">
        <f t="shared" ca="1" si="7"/>
        <v>0.25989265461552979</v>
      </c>
      <c r="AF18">
        <f t="shared" ca="1" si="2"/>
        <v>9.4153563940164831E-2</v>
      </c>
      <c r="AG18">
        <f t="shared" ca="1" si="2"/>
        <v>-1.0130387563690393</v>
      </c>
      <c r="AH18">
        <f t="shared" ca="1" si="2"/>
        <v>-5.2341901295719404E-2</v>
      </c>
      <c r="AI18">
        <f t="shared" ca="1" si="2"/>
        <v>-0.12089374251873911</v>
      </c>
      <c r="AJ18">
        <f t="shared" ca="1" si="2"/>
        <v>-0.64878735166168977</v>
      </c>
      <c r="AK18">
        <f t="shared" ca="1" si="2"/>
        <v>-1.6486070057826856</v>
      </c>
      <c r="AL18">
        <f t="shared" ca="1" si="2"/>
        <v>0.25497658099865628</v>
      </c>
      <c r="AM18">
        <f t="shared" ca="1" si="2"/>
        <v>2.321030874252502E-2</v>
      </c>
      <c r="AN18">
        <f t="shared" ca="1" si="2"/>
        <v>-1.2037425706020093</v>
      </c>
      <c r="AO18">
        <f t="shared" ca="1" si="2"/>
        <v>-0.43250711660964547</v>
      </c>
      <c r="AP18">
        <f t="shared" ca="1" si="2"/>
        <v>1.1341232123758753</v>
      </c>
    </row>
    <row r="19" spans="1:42">
      <c r="A19" t="s">
        <v>341</v>
      </c>
      <c r="B19" s="9">
        <f t="shared" si="3"/>
        <v>100</v>
      </c>
      <c r="C19" s="9">
        <f t="shared" ref="C19:N19" ca="1" si="26">B19*EXP($B$4+$B$3*SQRT(1)*AE19)</f>
        <v>99.619254570124383</v>
      </c>
      <c r="D19" s="9">
        <f t="shared" ca="1" si="26"/>
        <v>104.01900428846372</v>
      </c>
      <c r="E19" s="9">
        <f t="shared" ca="1" si="26"/>
        <v>102.44846246043174</v>
      </c>
      <c r="F19" s="9">
        <f t="shared" ca="1" si="26"/>
        <v>103.90245071153086</v>
      </c>
      <c r="G19" s="9">
        <f t="shared" ca="1" si="26"/>
        <v>97.834698032934057</v>
      </c>
      <c r="H19" s="9">
        <f t="shared" ca="1" si="26"/>
        <v>98.727361223359082</v>
      </c>
      <c r="I19" s="9">
        <f t="shared" ca="1" si="26"/>
        <v>94.635982191777586</v>
      </c>
      <c r="J19" s="9">
        <f t="shared" ca="1" si="26"/>
        <v>96.801423749671159</v>
      </c>
      <c r="K19" s="9">
        <f t="shared" ca="1" si="26"/>
        <v>92.689182714582302</v>
      </c>
      <c r="L19" s="9">
        <f t="shared" ca="1" si="26"/>
        <v>93.757936116023942</v>
      </c>
      <c r="M19" s="9">
        <f t="shared" ca="1" si="26"/>
        <v>92.72180168416962</v>
      </c>
      <c r="N19" s="9">
        <f t="shared" ca="1" si="26"/>
        <v>92.590122824758353</v>
      </c>
      <c r="P19" t="s">
        <v>357</v>
      </c>
      <c r="Q19" s="9">
        <f t="shared" si="5"/>
        <v>100</v>
      </c>
      <c r="R19" s="9">
        <f t="shared" ref="R19:AC19" ca="1" si="27">Q19*EXP($C$4+$C$3*SQRT(1)*((AE19*$D$2)+SQRT(1-$D$2^2)*NORMSINV(RAND())))</f>
        <v>102.47754909484964</v>
      </c>
      <c r="S19" s="9">
        <f t="shared" ca="1" si="27"/>
        <v>104.83552736961539</v>
      </c>
      <c r="T19" s="9">
        <f t="shared" ca="1" si="27"/>
        <v>104.89974056500736</v>
      </c>
      <c r="U19" s="9">
        <f t="shared" ca="1" si="27"/>
        <v>107.15405566450968</v>
      </c>
      <c r="V19" s="9">
        <f t="shared" ca="1" si="27"/>
        <v>107.81231190242293</v>
      </c>
      <c r="W19" s="9">
        <f t="shared" ca="1" si="27"/>
        <v>107.49379255590075</v>
      </c>
      <c r="X19" s="9">
        <f t="shared" ca="1" si="27"/>
        <v>106.21803702745942</v>
      </c>
      <c r="Y19" s="9">
        <f t="shared" ca="1" si="27"/>
        <v>105.44133962438504</v>
      </c>
      <c r="Z19" s="9">
        <f t="shared" ca="1" si="27"/>
        <v>104.3880526980462</v>
      </c>
      <c r="AA19" s="9">
        <f t="shared" ca="1" si="27"/>
        <v>103.66219377078045</v>
      </c>
      <c r="AB19" s="9">
        <f t="shared" ca="1" si="27"/>
        <v>101.31429055008103</v>
      </c>
      <c r="AC19" s="9">
        <f t="shared" ca="1" si="27"/>
        <v>103.03383506000618</v>
      </c>
      <c r="AE19">
        <f t="shared" ca="1" si="7"/>
        <v>-0.12882403680306431</v>
      </c>
      <c r="AF19">
        <f t="shared" ca="1" si="2"/>
        <v>1.4389383702184468</v>
      </c>
      <c r="AG19">
        <f t="shared" ca="1" si="2"/>
        <v>-0.50879163750417478</v>
      </c>
      <c r="AH19">
        <f t="shared" ca="1" si="2"/>
        <v>0.46808727251813498</v>
      </c>
      <c r="AI19">
        <f t="shared" ca="1" si="2"/>
        <v>-2.0074395102970364</v>
      </c>
      <c r="AJ19">
        <f t="shared" ca="1" si="2"/>
        <v>0.30109414440821891</v>
      </c>
      <c r="AK19">
        <f t="shared" ca="1" si="2"/>
        <v>-1.4124786296755572</v>
      </c>
      <c r="AL19">
        <f t="shared" ca="1" si="2"/>
        <v>0.7524645719362244</v>
      </c>
      <c r="AM19">
        <f t="shared" ca="1" si="2"/>
        <v>-1.4486642629953024</v>
      </c>
      <c r="AN19">
        <f t="shared" ca="1" si="2"/>
        <v>0.38048462432456953</v>
      </c>
      <c r="AO19">
        <f t="shared" ca="1" si="2"/>
        <v>-0.37208942926474675</v>
      </c>
      <c r="AP19">
        <f t="shared" ca="1" si="2"/>
        <v>-4.9038643015117803E-2</v>
      </c>
    </row>
    <row r="20" spans="1:42">
      <c r="A20" t="s">
        <v>342</v>
      </c>
      <c r="B20" s="9">
        <f t="shared" si="3"/>
        <v>100</v>
      </c>
      <c r="C20" s="9">
        <f t="shared" ref="C20:N20" ca="1" si="28">B20*EXP($B$4+$B$3*SQRT(1)*AE20)</f>
        <v>99.509650784057726</v>
      </c>
      <c r="D20" s="9">
        <f t="shared" ca="1" si="28"/>
        <v>98.027810671956672</v>
      </c>
      <c r="E20" s="9">
        <f t="shared" ca="1" si="28"/>
        <v>98.5618929715353</v>
      </c>
      <c r="F20" s="9">
        <f t="shared" ca="1" si="28"/>
        <v>97.528139463528703</v>
      </c>
      <c r="G20" s="9">
        <f t="shared" ca="1" si="28"/>
        <v>103.95920575431876</v>
      </c>
      <c r="H20" s="9">
        <f t="shared" ca="1" si="28"/>
        <v>104.1795563159553</v>
      </c>
      <c r="I20" s="9">
        <f t="shared" ca="1" si="28"/>
        <v>106.14202706238777</v>
      </c>
      <c r="J20" s="9">
        <f t="shared" ca="1" si="28"/>
        <v>107.61003899003892</v>
      </c>
      <c r="K20" s="9">
        <f t="shared" ca="1" si="28"/>
        <v>106.46189081847984</v>
      </c>
      <c r="L20" s="9">
        <f t="shared" ca="1" si="28"/>
        <v>105.51036470635501</v>
      </c>
      <c r="M20" s="9">
        <f t="shared" ca="1" si="28"/>
        <v>103.58016452962006</v>
      </c>
      <c r="N20" s="9">
        <f t="shared" ca="1" si="28"/>
        <v>107.10908159306631</v>
      </c>
      <c r="P20" t="s">
        <v>358</v>
      </c>
      <c r="Q20" s="9">
        <f t="shared" si="5"/>
        <v>100</v>
      </c>
      <c r="R20" s="9">
        <f t="shared" ref="R20:AC20" ca="1" si="29">Q20*EXP($C$4+$C$3*SQRT(1)*((AE20*$D$2)+SQRT(1-$D$2^2)*NORMSINV(RAND())))</f>
        <v>97.738117078601832</v>
      </c>
      <c r="S20" s="9">
        <f t="shared" ca="1" si="29"/>
        <v>97.312210832333221</v>
      </c>
      <c r="T20" s="9">
        <f t="shared" ca="1" si="29"/>
        <v>97.780773662577346</v>
      </c>
      <c r="U20" s="9">
        <f t="shared" ca="1" si="29"/>
        <v>96.232122916785713</v>
      </c>
      <c r="V20" s="9">
        <f t="shared" ca="1" si="29"/>
        <v>98.004795527978857</v>
      </c>
      <c r="W20" s="9">
        <f t="shared" ca="1" si="29"/>
        <v>98.849124972529367</v>
      </c>
      <c r="X20" s="9">
        <f t="shared" ca="1" si="29"/>
        <v>99.998218569196638</v>
      </c>
      <c r="Y20" s="9">
        <f t="shared" ca="1" si="29"/>
        <v>99.150980706429579</v>
      </c>
      <c r="Z20" s="9">
        <f t="shared" ca="1" si="29"/>
        <v>98.57250150278503</v>
      </c>
      <c r="AA20" s="9">
        <f t="shared" ca="1" si="29"/>
        <v>96.982307378876556</v>
      </c>
      <c r="AB20" s="9">
        <f t="shared" ca="1" si="29"/>
        <v>95.769346888700809</v>
      </c>
      <c r="AC20" s="9">
        <f t="shared" ca="1" si="29"/>
        <v>95.921702319971487</v>
      </c>
      <c r="AE20">
        <f t="shared" ca="1" si="7"/>
        <v>-0.16551845741473237</v>
      </c>
      <c r="AF20">
        <f t="shared" ca="1" si="2"/>
        <v>-0.50178038289240834</v>
      </c>
      <c r="AG20">
        <f t="shared" ca="1" si="2"/>
        <v>0.17944950359212258</v>
      </c>
      <c r="AH20">
        <f t="shared" ca="1" si="2"/>
        <v>-0.35312532134380337</v>
      </c>
      <c r="AI20">
        <f t="shared" ca="1" si="2"/>
        <v>2.1269207860548356</v>
      </c>
      <c r="AJ20">
        <f t="shared" ca="1" si="2"/>
        <v>6.8911455276836203E-2</v>
      </c>
      <c r="AK20">
        <f t="shared" ca="1" si="2"/>
        <v>0.62040539124663163</v>
      </c>
      <c r="AL20">
        <f t="shared" ca="1" si="2"/>
        <v>0.4561955771947459</v>
      </c>
      <c r="AM20">
        <f t="shared" ca="1" si="2"/>
        <v>-0.35922847059208407</v>
      </c>
      <c r="AN20">
        <f t="shared" ca="1" si="2"/>
        <v>-0.30092988896980821</v>
      </c>
      <c r="AO20">
        <f t="shared" ca="1" si="2"/>
        <v>-0.61711141092616439</v>
      </c>
      <c r="AP20">
        <f t="shared" ca="1" si="2"/>
        <v>1.1150639962454152</v>
      </c>
    </row>
    <row r="21" spans="1:42">
      <c r="A21" t="s">
        <v>343</v>
      </c>
      <c r="B21" s="9">
        <f t="shared" si="3"/>
        <v>100</v>
      </c>
      <c r="C21" s="9">
        <f t="shared" ref="C21:N21" ca="1" si="30">B21*EXP($B$4+$B$3*SQRT(1)*AE21)</f>
        <v>105.4945199779843</v>
      </c>
      <c r="D21" s="9">
        <f t="shared" ca="1" si="30"/>
        <v>102.77711768329858</v>
      </c>
      <c r="E21" s="9">
        <f t="shared" ca="1" si="30"/>
        <v>105.00917827635546</v>
      </c>
      <c r="F21" s="9">
        <f t="shared" ca="1" si="30"/>
        <v>110.3284058539806</v>
      </c>
      <c r="G21" s="9">
        <f t="shared" ca="1" si="30"/>
        <v>110.64335786630568</v>
      </c>
      <c r="H21" s="9">
        <f t="shared" ca="1" si="30"/>
        <v>110.61976168465695</v>
      </c>
      <c r="I21" s="9">
        <f t="shared" ca="1" si="30"/>
        <v>109.32198405497581</v>
      </c>
      <c r="J21" s="9">
        <f t="shared" ca="1" si="30"/>
        <v>114.02693037141374</v>
      </c>
      <c r="K21" s="9">
        <f t="shared" ca="1" si="30"/>
        <v>119.60576626185885</v>
      </c>
      <c r="L21" s="9">
        <f t="shared" ca="1" si="30"/>
        <v>128.14221808712384</v>
      </c>
      <c r="M21" s="9">
        <f t="shared" ca="1" si="30"/>
        <v>127.85488239601477</v>
      </c>
      <c r="N21" s="9">
        <f t="shared" ca="1" si="30"/>
        <v>127.81883912611187</v>
      </c>
      <c r="P21" t="s">
        <v>359</v>
      </c>
      <c r="Q21" s="9">
        <f t="shared" si="5"/>
        <v>100</v>
      </c>
      <c r="R21" s="9">
        <f t="shared" ref="R21:AC21" ca="1" si="31">Q21*EXP($C$4+$C$3*SQRT(1)*((AE21*$D$2)+SQRT(1-$D$2^2)*NORMSINV(RAND())))</f>
        <v>101.35075998869705</v>
      </c>
      <c r="S21" s="9">
        <f t="shared" ca="1" si="31"/>
        <v>99.379100416027043</v>
      </c>
      <c r="T21" s="9">
        <f t="shared" ca="1" si="31"/>
        <v>99.646482245929164</v>
      </c>
      <c r="U21" s="9">
        <f t="shared" ca="1" si="31"/>
        <v>98.223642550394274</v>
      </c>
      <c r="V21" s="9">
        <f t="shared" ca="1" si="31"/>
        <v>98.740096117408712</v>
      </c>
      <c r="W21" s="9">
        <f t="shared" ca="1" si="31"/>
        <v>98.193372264631364</v>
      </c>
      <c r="X21" s="9">
        <f t="shared" ca="1" si="31"/>
        <v>98.084976929774228</v>
      </c>
      <c r="Y21" s="9">
        <f t="shared" ca="1" si="31"/>
        <v>100.58757772841459</v>
      </c>
      <c r="Z21" s="9">
        <f t="shared" ca="1" si="31"/>
        <v>102.87464673768635</v>
      </c>
      <c r="AA21" s="9">
        <f t="shared" ca="1" si="31"/>
        <v>105.8560739860347</v>
      </c>
      <c r="AB21" s="9">
        <f t="shared" ca="1" si="31"/>
        <v>106.11199264377579</v>
      </c>
      <c r="AC21" s="9">
        <f t="shared" ca="1" si="31"/>
        <v>103.39606138434965</v>
      </c>
      <c r="AE21">
        <f t="shared" ca="1" si="7"/>
        <v>1.7812940747428723</v>
      </c>
      <c r="AF21">
        <f t="shared" ca="1" si="2"/>
        <v>-0.87154235385583534</v>
      </c>
      <c r="AG21">
        <f t="shared" ca="1" si="2"/>
        <v>0.7145006959455773</v>
      </c>
      <c r="AH21">
        <f t="shared" ca="1" si="2"/>
        <v>1.6454555761629419</v>
      </c>
      <c r="AI21">
        <f t="shared" ca="1" si="2"/>
        <v>9.3353686551624682E-2</v>
      </c>
      <c r="AJ21">
        <f t="shared" ca="1" si="2"/>
        <v>-8.7762056885247533E-3</v>
      </c>
      <c r="AK21">
        <f t="shared" ca="1" si="2"/>
        <v>-0.39504134170283944</v>
      </c>
      <c r="AL21">
        <f t="shared" ca="1" si="2"/>
        <v>1.4029047290564578</v>
      </c>
      <c r="AM21">
        <f t="shared" ca="1" si="2"/>
        <v>1.5905467140554692</v>
      </c>
      <c r="AN21">
        <f t="shared" ca="1" si="2"/>
        <v>2.296322422930638</v>
      </c>
      <c r="AO21">
        <f t="shared" ca="1" si="2"/>
        <v>-7.6494548500946613E-2</v>
      </c>
      <c r="AP21">
        <f t="shared" ca="1" si="2"/>
        <v>-1.1064913235793818E-2</v>
      </c>
    </row>
    <row r="22" spans="1:42">
      <c r="A22" t="s">
        <v>344</v>
      </c>
      <c r="B22" s="9">
        <f t="shared" si="3"/>
        <v>100</v>
      </c>
      <c r="C22" s="9">
        <f t="shared" ref="C22:N22" ca="1" si="32">B22*EXP($B$4+$B$3*SQRT(1)*AE22)</f>
        <v>100.98316315129068</v>
      </c>
      <c r="D22" s="9">
        <f t="shared" ca="1" si="32"/>
        <v>98.662158968489379</v>
      </c>
      <c r="E22" s="9">
        <f t="shared" ca="1" si="32"/>
        <v>98.09609689308752</v>
      </c>
      <c r="F22" s="9">
        <f t="shared" ca="1" si="32"/>
        <v>96.286880954378532</v>
      </c>
      <c r="G22" s="9">
        <f t="shared" ca="1" si="32"/>
        <v>97.775821258946337</v>
      </c>
      <c r="H22" s="9">
        <f t="shared" ca="1" si="32"/>
        <v>94.185355323899557</v>
      </c>
      <c r="I22" s="9">
        <f t="shared" ca="1" si="32"/>
        <v>93.700113474807779</v>
      </c>
      <c r="J22" s="9">
        <f t="shared" ca="1" si="32"/>
        <v>94.258737733079968</v>
      </c>
      <c r="K22" s="9">
        <f t="shared" ca="1" si="32"/>
        <v>91.174373832186632</v>
      </c>
      <c r="L22" s="9">
        <f t="shared" ca="1" si="32"/>
        <v>86.135679858673669</v>
      </c>
      <c r="M22" s="9">
        <f t="shared" ca="1" si="32"/>
        <v>83.975166897095917</v>
      </c>
      <c r="N22" s="9">
        <f t="shared" ca="1" si="32"/>
        <v>82.783470447454178</v>
      </c>
      <c r="P22" t="s">
        <v>360</v>
      </c>
      <c r="Q22" s="9">
        <f t="shared" si="5"/>
        <v>100</v>
      </c>
      <c r="R22" s="9">
        <f t="shared" ref="R22:AC22" ca="1" si="33">Q22*EXP($C$4+$C$3*SQRT(1)*((AE22*$D$2)+SQRT(1-$D$2^2)*NORMSINV(RAND())))</f>
        <v>101.16845626207542</v>
      </c>
      <c r="S22" s="9">
        <f t="shared" ca="1" si="33"/>
        <v>100.32816025439877</v>
      </c>
      <c r="T22" s="9">
        <f t="shared" ca="1" si="33"/>
        <v>103.41788283457046</v>
      </c>
      <c r="U22" s="9">
        <f t="shared" ca="1" si="33"/>
        <v>103.53926335017505</v>
      </c>
      <c r="V22" s="9">
        <f t="shared" ca="1" si="33"/>
        <v>106.25902257915655</v>
      </c>
      <c r="W22" s="9">
        <f t="shared" ca="1" si="33"/>
        <v>104.70224407346424</v>
      </c>
      <c r="X22" s="9">
        <f t="shared" ca="1" si="33"/>
        <v>107.33636276181372</v>
      </c>
      <c r="Y22" s="9">
        <f t="shared" ca="1" si="33"/>
        <v>107.11185796370296</v>
      </c>
      <c r="Z22" s="9">
        <f t="shared" ca="1" si="33"/>
        <v>106.12866644159503</v>
      </c>
      <c r="AA22" s="9">
        <f t="shared" ca="1" si="33"/>
        <v>103.39954136942796</v>
      </c>
      <c r="AB22" s="9">
        <f t="shared" ca="1" si="33"/>
        <v>101.17702670702589</v>
      </c>
      <c r="AC22" s="9">
        <f t="shared" ca="1" si="33"/>
        <v>99.683886182345233</v>
      </c>
      <c r="AE22">
        <f t="shared" ca="1" si="7"/>
        <v>0.32445384948545497</v>
      </c>
      <c r="AF22">
        <f t="shared" ca="1" si="2"/>
        <v>-0.77674409968409308</v>
      </c>
      <c r="AG22">
        <f t="shared" ca="1" si="2"/>
        <v>-0.19346332416309947</v>
      </c>
      <c r="AH22">
        <f t="shared" ca="1" si="2"/>
        <v>-0.62218334122612773</v>
      </c>
      <c r="AI22">
        <f t="shared" ca="1" si="2"/>
        <v>0.50984138545640878</v>
      </c>
      <c r="AJ22">
        <f t="shared" ca="1" si="2"/>
        <v>-1.2487538080142544</v>
      </c>
      <c r="AK22">
        <f t="shared" ca="1" si="2"/>
        <v>-0.17384351854123931</v>
      </c>
      <c r="AL22">
        <f t="shared" ca="1" si="2"/>
        <v>0.19647099289336889</v>
      </c>
      <c r="AM22">
        <f t="shared" ca="1" si="2"/>
        <v>-1.1106553720292904</v>
      </c>
      <c r="AN22">
        <f t="shared" ca="1" si="2"/>
        <v>-1.8966714367630835</v>
      </c>
      <c r="AO22">
        <f t="shared" ca="1" si="2"/>
        <v>-0.84842009508117777</v>
      </c>
      <c r="AP22">
        <f t="shared" ca="1" si="2"/>
        <v>-0.47809045910540982</v>
      </c>
    </row>
    <row r="23" spans="1:42">
      <c r="A23" t="s">
        <v>345</v>
      </c>
      <c r="B23" s="9">
        <f t="shared" si="3"/>
        <v>100</v>
      </c>
      <c r="C23" s="9">
        <f t="shared" ref="C23:N23" ca="1" si="34">B23*EXP($B$4+$B$3*SQRT(1)*AE23)</f>
        <v>94.211132363522893</v>
      </c>
      <c r="D23" s="9">
        <f t="shared" ca="1" si="34"/>
        <v>87.22863150565999</v>
      </c>
      <c r="E23" s="9">
        <f t="shared" ca="1" si="34"/>
        <v>89.556900955136001</v>
      </c>
      <c r="F23" s="9">
        <f t="shared" ca="1" si="34"/>
        <v>90.969647962805396</v>
      </c>
      <c r="G23" s="9">
        <f t="shared" ca="1" si="34"/>
        <v>91.536390098210603</v>
      </c>
      <c r="H23" s="9">
        <f t="shared" ca="1" si="34"/>
        <v>95.59528879840191</v>
      </c>
      <c r="I23" s="9">
        <f t="shared" ca="1" si="34"/>
        <v>93.639136868228121</v>
      </c>
      <c r="J23" s="9">
        <f t="shared" ca="1" si="34"/>
        <v>91.092693546764977</v>
      </c>
      <c r="K23" s="9">
        <f t="shared" ca="1" si="34"/>
        <v>89.473747195484464</v>
      </c>
      <c r="L23" s="9">
        <f t="shared" ca="1" si="34"/>
        <v>91.402762686702772</v>
      </c>
      <c r="M23" s="9">
        <f t="shared" ca="1" si="34"/>
        <v>86.346579004160787</v>
      </c>
      <c r="N23" s="9">
        <f t="shared" ca="1" si="34"/>
        <v>83.104588872435897</v>
      </c>
      <c r="P23" t="s">
        <v>361</v>
      </c>
      <c r="Q23" s="9">
        <f t="shared" si="5"/>
        <v>100</v>
      </c>
      <c r="R23" s="9">
        <f t="shared" ref="R23:AC23" ca="1" si="35">Q23*EXP($C$4+$C$3*SQRT(1)*((AE23*$D$2)+SQRT(1-$D$2^2)*NORMSINV(RAND())))</f>
        <v>95.67885595412308</v>
      </c>
      <c r="S23" s="9">
        <f t="shared" ca="1" si="35"/>
        <v>95.187773517017206</v>
      </c>
      <c r="T23" s="9">
        <f t="shared" ca="1" si="35"/>
        <v>96.34414913042751</v>
      </c>
      <c r="U23" s="9">
        <f t="shared" ca="1" si="35"/>
        <v>96.433660458289481</v>
      </c>
      <c r="V23" s="9">
        <f t="shared" ca="1" si="35"/>
        <v>97.089281325132916</v>
      </c>
      <c r="W23" s="9">
        <f t="shared" ca="1" si="35"/>
        <v>101.145579978634</v>
      </c>
      <c r="X23" s="9">
        <f t="shared" ca="1" si="35"/>
        <v>102.19992968688155</v>
      </c>
      <c r="Y23" s="9">
        <f t="shared" ca="1" si="35"/>
        <v>99.077644729703181</v>
      </c>
      <c r="Z23" s="9">
        <f t="shared" ca="1" si="35"/>
        <v>98.40960941897832</v>
      </c>
      <c r="AA23" s="9">
        <f t="shared" ca="1" si="35"/>
        <v>96.686122852491621</v>
      </c>
      <c r="AB23" s="9">
        <f t="shared" ca="1" si="35"/>
        <v>91.977722983674894</v>
      </c>
      <c r="AC23" s="9">
        <f t="shared" ca="1" si="35"/>
        <v>88.527241799299219</v>
      </c>
      <c r="AE23">
        <f t="shared" ca="1" si="7"/>
        <v>-1.9893944477173364</v>
      </c>
      <c r="AF23">
        <f t="shared" ca="1" si="2"/>
        <v>-2.5685244193190808</v>
      </c>
      <c r="AG23">
        <f t="shared" ca="1" si="2"/>
        <v>0.87638560509343777</v>
      </c>
      <c r="AH23">
        <f t="shared" ca="1" si="2"/>
        <v>0.52005746267723896</v>
      </c>
      <c r="AI23">
        <f t="shared" ca="1" si="2"/>
        <v>0.20535623995545543</v>
      </c>
      <c r="AJ23">
        <f t="shared" ca="1" si="2"/>
        <v>1.4445646427604037</v>
      </c>
      <c r="AK23">
        <f t="shared" ca="1" si="2"/>
        <v>-0.69083711551767535</v>
      </c>
      <c r="AL23">
        <f t="shared" ca="1" si="2"/>
        <v>-0.92069421789193218</v>
      </c>
      <c r="AM23">
        <f t="shared" ca="1" si="2"/>
        <v>-0.59941145540516882</v>
      </c>
      <c r="AN23">
        <f t="shared" ca="1" si="2"/>
        <v>0.7093483169228878</v>
      </c>
      <c r="AO23">
        <f t="shared" ca="1" si="2"/>
        <v>-1.8985506104388521</v>
      </c>
      <c r="AP23">
        <f t="shared" ca="1" si="2"/>
        <v>-1.2773088198873461</v>
      </c>
    </row>
    <row r="25" spans="1:42">
      <c r="A25" t="s">
        <v>19</v>
      </c>
      <c r="B25" t="s">
        <v>362</v>
      </c>
      <c r="C25" t="s">
        <v>363</v>
      </c>
    </row>
    <row r="26" spans="1:42">
      <c r="A26" t="s">
        <v>1</v>
      </c>
      <c r="B26" s="9">
        <v>100</v>
      </c>
      <c r="C26">
        <v>100</v>
      </c>
    </row>
    <row r="27" spans="1:42">
      <c r="A27" t="s">
        <v>2</v>
      </c>
      <c r="B27">
        <v>102.11321568197718</v>
      </c>
      <c r="C27">
        <v>101.49987613283402</v>
      </c>
    </row>
    <row r="28" spans="1:42">
      <c r="A28" t="s">
        <v>3</v>
      </c>
      <c r="B28">
        <v>105.8951232361502</v>
      </c>
      <c r="C28">
        <v>102.11662910243204</v>
      </c>
    </row>
    <row r="29" spans="1:42">
      <c r="A29" t="s">
        <v>4</v>
      </c>
      <c r="B29">
        <v>116.1559601429346</v>
      </c>
      <c r="C29">
        <v>102.90057611789182</v>
      </c>
    </row>
    <row r="30" spans="1:42">
      <c r="A30" t="s">
        <v>5</v>
      </c>
      <c r="B30">
        <v>113.17152351780847</v>
      </c>
      <c r="C30">
        <v>102.17235880249144</v>
      </c>
    </row>
    <row r="31" spans="1:42">
      <c r="A31" t="s">
        <v>6</v>
      </c>
      <c r="B31">
        <v>119.97266972052817</v>
      </c>
      <c r="C31">
        <v>106.31713999000708</v>
      </c>
    </row>
    <row r="32" spans="1:42">
      <c r="A32" t="s">
        <v>7</v>
      </c>
      <c r="B32">
        <v>123.11716211884344</v>
      </c>
      <c r="C32">
        <v>109.42489951853516</v>
      </c>
    </row>
    <row r="33" spans="1:3">
      <c r="A33" t="s">
        <v>8</v>
      </c>
      <c r="B33">
        <v>123.5462145995303</v>
      </c>
      <c r="C33">
        <v>110.23606937329009</v>
      </c>
    </row>
    <row r="34" spans="1:3">
      <c r="A34" t="s">
        <v>9</v>
      </c>
      <c r="B34">
        <v>123.63931801543184</v>
      </c>
      <c r="C34">
        <v>108.7420157830655</v>
      </c>
    </row>
    <row r="35" spans="1:3">
      <c r="A35" t="s">
        <v>10</v>
      </c>
      <c r="B35">
        <v>123.01717993842406</v>
      </c>
      <c r="C35">
        <v>110.79385394616931</v>
      </c>
    </row>
    <row r="36" spans="1:3">
      <c r="A36" t="s">
        <v>11</v>
      </c>
      <c r="B36">
        <v>119.95424608268296</v>
      </c>
      <c r="C36">
        <v>112.0140323174984</v>
      </c>
    </row>
    <row r="37" spans="1:3">
      <c r="A37" t="s">
        <v>12</v>
      </c>
      <c r="B37">
        <v>126.52807020963144</v>
      </c>
      <c r="C37">
        <v>114.1477129279599</v>
      </c>
    </row>
    <row r="38" spans="1:3">
      <c r="A38" t="s">
        <v>13</v>
      </c>
      <c r="B38">
        <v>125.13080085684362</v>
      </c>
      <c r="C38">
        <v>113.02687131948605</v>
      </c>
    </row>
  </sheetData>
  <pageMargins left="0.7" right="0.7" top="0.75" bottom="0.75" header="0.3" footer="0.3"/>
  <drawing r:id="rId1"/>
  <legacyDrawing r:id="rId2"/>
  <oleObjects>
    <oleObject progId="Equation.3" shapeId="3073" r:id="rId3"/>
  </oleObjec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048564"/>
  <sheetViews>
    <sheetView workbookViewId="0"/>
  </sheetViews>
  <sheetFormatPr defaultRowHeight="15"/>
  <sheetData>
    <row r="1048564" ht="15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Stock Price Simulation</vt:lpstr>
      <vt:lpstr>Interest Rate Simulation</vt:lpstr>
      <vt:lpstr>Output</vt:lpstr>
      <vt:lpstr>OutputInt</vt:lpstr>
      <vt:lpstr>Multiple Assets</vt:lpstr>
      <vt:lpstr>Macro1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kontee</dc:creator>
  <cp:lastModifiedBy>Administrator</cp:lastModifiedBy>
  <dcterms:created xsi:type="dcterms:W3CDTF">2008-10-18T09:14:51Z</dcterms:created>
  <dcterms:modified xsi:type="dcterms:W3CDTF">2009-11-21T05:21:29Z</dcterms:modified>
</cp:coreProperties>
</file>